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venss BOOK\IN213XX-脫貧窮的硬技巧！Excel教我的那些理財記帳、投資管理大小事\隨附光碟\隨書範例檔案\範例檔案\"/>
    </mc:Choice>
  </mc:AlternateContent>
  <bookViews>
    <workbookView xWindow="13125" yWindow="975" windowWidth="12870" windowHeight="11640"/>
  </bookViews>
  <sheets>
    <sheet name="定期定額試算表" sheetId="6" r:id="rId1"/>
  </sheets>
  <definedNames>
    <definedName name="_xlnm.Print_Area" localSheetId="0">定期定額試算表!$B$1:$G$129</definedName>
    <definedName name="_xlnm.Print_Titles" localSheetId="0">定期定額試算表!$8:$9</definedName>
  </definedNames>
  <calcPr calcId="152511"/>
</workbook>
</file>

<file path=xl/calcChain.xml><?xml version="1.0" encoding="utf-8"?>
<calcChain xmlns="http://schemas.openxmlformats.org/spreadsheetml/2006/main">
  <c r="G5" i="6" l="1"/>
  <c r="G6" i="6" s="1"/>
  <c r="B10" i="6"/>
  <c r="C10" i="6" s="1"/>
  <c r="B11" i="6" l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D10" i="6"/>
  <c r="F10" i="6"/>
  <c r="H10" i="6"/>
  <c r="G10" i="6" s="1"/>
  <c r="E10" i="6" l="1"/>
  <c r="H11" i="6"/>
  <c r="E11" i="6" s="1"/>
  <c r="G11" i="6" s="1"/>
  <c r="F11" i="6"/>
  <c r="C11" i="6"/>
  <c r="D11" i="6"/>
  <c r="D12" i="6" s="1"/>
  <c r="C12" i="6" l="1"/>
  <c r="H12" i="6"/>
  <c r="E12" i="6" s="1"/>
  <c r="G12" i="6" s="1"/>
  <c r="F12" i="6"/>
  <c r="C13" i="6" l="1"/>
  <c r="H13" i="6"/>
  <c r="F13" i="6"/>
  <c r="E13" i="6"/>
  <c r="G13" i="6" s="1"/>
  <c r="D13" i="6"/>
  <c r="H14" i="6" l="1"/>
  <c r="F14" i="6"/>
  <c r="E14" i="6"/>
  <c r="G14" i="6" s="1"/>
  <c r="C14" i="6"/>
  <c r="D14" i="6"/>
  <c r="H15" i="6" l="1"/>
  <c r="F15" i="6"/>
  <c r="E15" i="6"/>
  <c r="G15" i="6" s="1"/>
  <c r="C15" i="6"/>
  <c r="D15" i="6"/>
  <c r="H16" i="6" l="1"/>
  <c r="F16" i="6"/>
  <c r="E16" i="6"/>
  <c r="G16" i="6" s="1"/>
  <c r="D16" i="6"/>
  <c r="C16" i="6"/>
  <c r="H17" i="6" l="1"/>
  <c r="F17" i="6"/>
  <c r="E17" i="6"/>
  <c r="G17" i="6" s="1"/>
  <c r="D17" i="6"/>
  <c r="C17" i="6"/>
  <c r="H18" i="6" l="1"/>
  <c r="F18" i="6"/>
  <c r="E18" i="6"/>
  <c r="G18" i="6" s="1"/>
  <c r="C18" i="6"/>
  <c r="D18" i="6"/>
  <c r="H19" i="6" l="1"/>
  <c r="F19" i="6"/>
  <c r="E19" i="6"/>
  <c r="G19" i="6" s="1"/>
  <c r="D19" i="6"/>
  <c r="C19" i="6"/>
  <c r="H20" i="6" l="1"/>
  <c r="F20" i="6"/>
  <c r="E20" i="6"/>
  <c r="G20" i="6" s="1"/>
  <c r="C20" i="6"/>
  <c r="D20" i="6"/>
  <c r="H21" i="6" l="1"/>
  <c r="F21" i="6"/>
  <c r="E21" i="6"/>
  <c r="G21" i="6" s="1"/>
  <c r="D21" i="6"/>
  <c r="C21" i="6"/>
  <c r="H22" i="6" l="1"/>
  <c r="F22" i="6"/>
  <c r="E22" i="6"/>
  <c r="G22" i="6" s="1"/>
  <c r="C22" i="6"/>
  <c r="D22" i="6"/>
  <c r="H23" i="6" l="1"/>
  <c r="F23" i="6"/>
  <c r="E23" i="6"/>
  <c r="G23" i="6" s="1"/>
  <c r="C23" i="6"/>
  <c r="D23" i="6"/>
  <c r="H24" i="6" l="1"/>
  <c r="E24" i="6" s="1"/>
  <c r="G24" i="6" s="1"/>
  <c r="F24" i="6"/>
  <c r="C24" i="6"/>
  <c r="D24" i="6"/>
  <c r="H25" i="6" l="1"/>
  <c r="F25" i="6"/>
  <c r="E25" i="6"/>
  <c r="G25" i="6" s="1"/>
  <c r="C25" i="6"/>
  <c r="D25" i="6"/>
  <c r="H26" i="6" l="1"/>
  <c r="F26" i="6"/>
  <c r="E26" i="6"/>
  <c r="G26" i="6" s="1"/>
  <c r="C26" i="6"/>
  <c r="D26" i="6"/>
  <c r="H27" i="6" l="1"/>
  <c r="F27" i="6"/>
  <c r="E27" i="6"/>
  <c r="G27" i="6" s="1"/>
  <c r="D27" i="6"/>
  <c r="C27" i="6"/>
  <c r="H28" i="6" l="1"/>
  <c r="F28" i="6"/>
  <c r="E28" i="6"/>
  <c r="G28" i="6" s="1"/>
  <c r="C28" i="6"/>
  <c r="D28" i="6"/>
  <c r="H29" i="6" l="1"/>
  <c r="F29" i="6"/>
  <c r="E29" i="6"/>
  <c r="G29" i="6" s="1"/>
  <c r="D29" i="6"/>
  <c r="C29" i="6"/>
  <c r="H30" i="6" l="1"/>
  <c r="F30" i="6"/>
  <c r="E30" i="6"/>
  <c r="G30" i="6" s="1"/>
  <c r="D30" i="6"/>
  <c r="C30" i="6"/>
  <c r="H31" i="6" l="1"/>
  <c r="F31" i="6"/>
  <c r="E31" i="6"/>
  <c r="G31" i="6" s="1"/>
  <c r="D31" i="6"/>
  <c r="C31" i="6"/>
  <c r="H32" i="6" l="1"/>
  <c r="F32" i="6"/>
  <c r="E32" i="6"/>
  <c r="G32" i="6" s="1"/>
  <c r="C32" i="6"/>
  <c r="D32" i="6"/>
  <c r="H33" i="6" l="1"/>
  <c r="F33" i="6"/>
  <c r="E33" i="6"/>
  <c r="G33" i="6" s="1"/>
  <c r="D33" i="6"/>
  <c r="C33" i="6"/>
  <c r="H34" i="6" l="1"/>
  <c r="F34" i="6"/>
  <c r="E34" i="6"/>
  <c r="G34" i="6" s="1"/>
  <c r="C34" i="6"/>
  <c r="D34" i="6"/>
  <c r="H35" i="6" l="1"/>
  <c r="F35" i="6"/>
  <c r="E35" i="6"/>
  <c r="G35" i="6" s="1"/>
  <c r="D35" i="6"/>
  <c r="C35" i="6"/>
  <c r="H36" i="6" l="1"/>
  <c r="F36" i="6"/>
  <c r="E36" i="6"/>
  <c r="G36" i="6" s="1"/>
  <c r="C36" i="6"/>
  <c r="D36" i="6"/>
  <c r="H37" i="6" l="1"/>
  <c r="F37" i="6"/>
  <c r="E37" i="6"/>
  <c r="G37" i="6" s="1"/>
  <c r="D37" i="6"/>
  <c r="C37" i="6"/>
  <c r="H38" i="6" l="1"/>
  <c r="F38" i="6"/>
  <c r="E38" i="6"/>
  <c r="G38" i="6" s="1"/>
  <c r="C38" i="6"/>
  <c r="D38" i="6"/>
  <c r="H39" i="6" l="1"/>
  <c r="F39" i="6"/>
  <c r="E39" i="6"/>
  <c r="G39" i="6" s="1"/>
  <c r="D39" i="6"/>
  <c r="C39" i="6"/>
  <c r="H40" i="6" l="1"/>
  <c r="F40" i="6"/>
  <c r="E40" i="6"/>
  <c r="G40" i="6" s="1"/>
  <c r="C40" i="6"/>
  <c r="D40" i="6"/>
  <c r="H41" i="6" l="1"/>
  <c r="F41" i="6"/>
  <c r="E41" i="6"/>
  <c r="G41" i="6" s="1"/>
  <c r="D41" i="6"/>
  <c r="C41" i="6"/>
  <c r="H42" i="6" l="1"/>
  <c r="F42" i="6"/>
  <c r="E42" i="6"/>
  <c r="G42" i="6" s="1"/>
  <c r="C42" i="6"/>
  <c r="D42" i="6"/>
  <c r="H43" i="6" l="1"/>
  <c r="F43" i="6"/>
  <c r="E43" i="6"/>
  <c r="G43" i="6" s="1"/>
  <c r="D43" i="6"/>
  <c r="C43" i="6"/>
  <c r="H44" i="6" l="1"/>
  <c r="F44" i="6"/>
  <c r="E44" i="6"/>
  <c r="G44" i="6" s="1"/>
  <c r="C44" i="6"/>
  <c r="D44" i="6"/>
  <c r="F46" i="6" l="1"/>
  <c r="H45" i="6"/>
  <c r="E45" i="6" s="1"/>
  <c r="G45" i="6" s="1"/>
  <c r="F45" i="6"/>
  <c r="D45" i="6"/>
  <c r="D46" i="6" s="1"/>
  <c r="D47" i="6" s="1"/>
  <c r="C45" i="6"/>
  <c r="C46" i="6" s="1"/>
  <c r="C47" i="6" l="1"/>
  <c r="F47" i="6"/>
  <c r="H46" i="6"/>
  <c r="C48" i="6" l="1"/>
  <c r="F48" i="6"/>
  <c r="D48" i="6"/>
  <c r="E46" i="6"/>
  <c r="G46" i="6" s="1"/>
  <c r="H47" i="6"/>
  <c r="C49" i="6" l="1"/>
  <c r="D49" i="6"/>
  <c r="F49" i="6"/>
  <c r="E47" i="6"/>
  <c r="G47" i="6" s="1"/>
  <c r="H48" i="6"/>
  <c r="E48" i="6" s="1"/>
  <c r="G48" i="6" s="1"/>
  <c r="C50" i="6" l="1"/>
  <c r="F50" i="6"/>
  <c r="D50" i="6"/>
  <c r="H49" i="6"/>
  <c r="C51" i="6" l="1"/>
  <c r="D51" i="6"/>
  <c r="F51" i="6"/>
  <c r="E49" i="6"/>
  <c r="G49" i="6" s="1"/>
  <c r="H50" i="6"/>
  <c r="C52" i="6" l="1"/>
  <c r="F52" i="6"/>
  <c r="D52" i="6"/>
  <c r="E50" i="6"/>
  <c r="G50" i="6" s="1"/>
  <c r="H51" i="6"/>
  <c r="E51" i="6" s="1"/>
  <c r="G51" i="6" s="1"/>
  <c r="C53" i="6" l="1"/>
  <c r="D53" i="6"/>
  <c r="F53" i="6"/>
  <c r="H52" i="6"/>
  <c r="E52" i="6" s="1"/>
  <c r="G52" i="6" s="1"/>
  <c r="C54" i="6" l="1"/>
  <c r="F54" i="6"/>
  <c r="D54" i="6"/>
  <c r="H53" i="6"/>
  <c r="E53" i="6" s="1"/>
  <c r="G53" i="6" s="1"/>
  <c r="F55" i="6" l="1"/>
  <c r="C55" i="6"/>
  <c r="D55" i="6"/>
  <c r="H54" i="6"/>
  <c r="E54" i="6" s="1"/>
  <c r="G54" i="6" s="1"/>
  <c r="C56" i="6" l="1"/>
  <c r="F56" i="6"/>
  <c r="D56" i="6"/>
  <c r="H55" i="6"/>
  <c r="E55" i="6" s="1"/>
  <c r="G55" i="6" s="1"/>
  <c r="C57" i="6" l="1"/>
  <c r="D57" i="6"/>
  <c r="F57" i="6"/>
  <c r="H56" i="6"/>
  <c r="E56" i="6" s="1"/>
  <c r="G56" i="6" s="1"/>
  <c r="F58" i="6" l="1"/>
  <c r="D58" i="6"/>
  <c r="C58" i="6"/>
  <c r="H57" i="6"/>
  <c r="E57" i="6" s="1"/>
  <c r="G57" i="6" s="1"/>
  <c r="C59" i="6" l="1"/>
  <c r="D59" i="6"/>
  <c r="F59" i="6"/>
  <c r="H58" i="6"/>
  <c r="E58" i="6" s="1"/>
  <c r="G58" i="6" s="1"/>
  <c r="C60" i="6" l="1"/>
  <c r="F60" i="6"/>
  <c r="D60" i="6"/>
  <c r="H59" i="6"/>
  <c r="E59" i="6" s="1"/>
  <c r="G59" i="6" s="1"/>
  <c r="C61" i="6" l="1"/>
  <c r="D61" i="6"/>
  <c r="F61" i="6"/>
  <c r="H60" i="6"/>
  <c r="E60" i="6" s="1"/>
  <c r="G60" i="6" s="1"/>
  <c r="C62" i="6" l="1"/>
  <c r="F62" i="6"/>
  <c r="D62" i="6"/>
  <c r="H61" i="6"/>
  <c r="E61" i="6" s="1"/>
  <c r="G61" i="6" s="1"/>
  <c r="C63" i="6" l="1"/>
  <c r="D63" i="6"/>
  <c r="F63" i="6"/>
  <c r="H62" i="6"/>
  <c r="E62" i="6" s="1"/>
  <c r="G62" i="6" s="1"/>
  <c r="C64" i="6" l="1"/>
  <c r="F64" i="6"/>
  <c r="D64" i="6"/>
  <c r="H63" i="6"/>
  <c r="E63" i="6" s="1"/>
  <c r="G63" i="6" s="1"/>
  <c r="C65" i="6" l="1"/>
  <c r="F65" i="6"/>
  <c r="D65" i="6"/>
  <c r="H64" i="6"/>
  <c r="E64" i="6" s="1"/>
  <c r="G64" i="6" s="1"/>
  <c r="C66" i="6" l="1"/>
  <c r="F66" i="6"/>
  <c r="D66" i="6"/>
  <c r="H65" i="6"/>
  <c r="E65" i="6" s="1"/>
  <c r="G65" i="6" s="1"/>
  <c r="C67" i="6" l="1"/>
  <c r="F67" i="6"/>
  <c r="D67" i="6"/>
  <c r="H66" i="6"/>
  <c r="E66" i="6" s="1"/>
  <c r="G66" i="6" s="1"/>
  <c r="C68" i="6" l="1"/>
  <c r="F68" i="6"/>
  <c r="D68" i="6"/>
  <c r="H67" i="6"/>
  <c r="E67" i="6" s="1"/>
  <c r="G67" i="6" s="1"/>
  <c r="F69" i="6" l="1"/>
  <c r="C69" i="6"/>
  <c r="D69" i="6"/>
  <c r="H68" i="6"/>
  <c r="E68" i="6" s="1"/>
  <c r="G68" i="6" s="1"/>
  <c r="F70" i="6" l="1"/>
  <c r="C70" i="6"/>
  <c r="D70" i="6"/>
  <c r="H69" i="6"/>
  <c r="E69" i="6" s="1"/>
  <c r="G69" i="6" s="1"/>
  <c r="C71" i="6" l="1"/>
  <c r="F71" i="6"/>
  <c r="D71" i="6"/>
  <c r="H70" i="6"/>
  <c r="C72" i="6" l="1"/>
  <c r="F72" i="6"/>
  <c r="D72" i="6"/>
  <c r="E70" i="6"/>
  <c r="G70" i="6" s="1"/>
  <c r="H71" i="6"/>
  <c r="C73" i="6" l="1"/>
  <c r="F73" i="6"/>
  <c r="D73" i="6"/>
  <c r="E71" i="6"/>
  <c r="G71" i="6" s="1"/>
  <c r="H72" i="6"/>
  <c r="E72" i="6" s="1"/>
  <c r="G72" i="6" s="1"/>
  <c r="C74" i="6" l="1"/>
  <c r="F74" i="6"/>
  <c r="D74" i="6"/>
  <c r="H73" i="6"/>
  <c r="C75" i="6" l="1"/>
  <c r="F75" i="6"/>
  <c r="D75" i="6"/>
  <c r="E73" i="6"/>
  <c r="G73" i="6" s="1"/>
  <c r="H74" i="6"/>
  <c r="E74" i="6" s="1"/>
  <c r="G74" i="6" s="1"/>
  <c r="C76" i="6" l="1"/>
  <c r="F76" i="6"/>
  <c r="D76" i="6"/>
  <c r="H75" i="6"/>
  <c r="E75" i="6" s="1"/>
  <c r="G75" i="6" s="1"/>
  <c r="C77" i="6" l="1"/>
  <c r="F77" i="6"/>
  <c r="D77" i="6"/>
  <c r="H76" i="6"/>
  <c r="E76" i="6" s="1"/>
  <c r="G76" i="6" s="1"/>
  <c r="D78" i="6" l="1"/>
  <c r="C78" i="6"/>
  <c r="F78" i="6"/>
  <c r="H77" i="6"/>
  <c r="E77" i="6" s="1"/>
  <c r="G77" i="6" s="1"/>
  <c r="C79" i="6" l="1"/>
  <c r="F79" i="6"/>
  <c r="D79" i="6"/>
  <c r="H78" i="6"/>
  <c r="E78" i="6" s="1"/>
  <c r="G78" i="6" s="1"/>
  <c r="C80" i="6" l="1"/>
  <c r="F80" i="6"/>
  <c r="D80" i="6"/>
  <c r="H79" i="6"/>
  <c r="E79" i="6" s="1"/>
  <c r="G79" i="6" s="1"/>
  <c r="D81" i="6" l="1"/>
  <c r="C81" i="6"/>
  <c r="F81" i="6"/>
  <c r="H80" i="6"/>
  <c r="E80" i="6" s="1"/>
  <c r="G80" i="6" s="1"/>
  <c r="C82" i="6" l="1"/>
  <c r="F82" i="6"/>
  <c r="D82" i="6"/>
  <c r="H81" i="6"/>
  <c r="E81" i="6" s="1"/>
  <c r="G81" i="6" s="1"/>
  <c r="C83" i="6" l="1"/>
  <c r="F83" i="6"/>
  <c r="D83" i="6"/>
  <c r="H82" i="6"/>
  <c r="E82" i="6" s="1"/>
  <c r="G82" i="6" s="1"/>
  <c r="C84" i="6" l="1"/>
  <c r="F84" i="6"/>
  <c r="D84" i="6"/>
  <c r="H83" i="6"/>
  <c r="E83" i="6" s="1"/>
  <c r="G83" i="6" s="1"/>
  <c r="C85" i="6" l="1"/>
  <c r="F85" i="6"/>
  <c r="D85" i="6"/>
  <c r="H84" i="6"/>
  <c r="E84" i="6" s="1"/>
  <c r="G84" i="6" s="1"/>
  <c r="C86" i="6" l="1"/>
  <c r="F86" i="6"/>
  <c r="D86" i="6"/>
  <c r="H85" i="6"/>
  <c r="E85" i="6" s="1"/>
  <c r="G85" i="6" s="1"/>
  <c r="C87" i="6" l="1"/>
  <c r="F87" i="6"/>
  <c r="D87" i="6"/>
  <c r="H86" i="6"/>
  <c r="E86" i="6" s="1"/>
  <c r="G86" i="6" s="1"/>
  <c r="C88" i="6" l="1"/>
  <c r="F88" i="6"/>
  <c r="D88" i="6"/>
  <c r="H87" i="6"/>
  <c r="E87" i="6" s="1"/>
  <c r="G87" i="6" s="1"/>
  <c r="C89" i="6" l="1"/>
  <c r="F89" i="6"/>
  <c r="D89" i="6"/>
  <c r="H88" i="6"/>
  <c r="E88" i="6" s="1"/>
  <c r="G88" i="6" s="1"/>
  <c r="C90" i="6" l="1"/>
  <c r="F90" i="6"/>
  <c r="D90" i="6"/>
  <c r="H89" i="6"/>
  <c r="E89" i="6" s="1"/>
  <c r="G89" i="6" s="1"/>
  <c r="C91" i="6" l="1"/>
  <c r="F91" i="6"/>
  <c r="D91" i="6"/>
  <c r="H90" i="6"/>
  <c r="E90" i="6" s="1"/>
  <c r="G90" i="6" s="1"/>
  <c r="D92" i="6" l="1"/>
  <c r="C92" i="6"/>
  <c r="F92" i="6"/>
  <c r="H91" i="6"/>
  <c r="E91" i="6" s="1"/>
  <c r="G91" i="6" s="1"/>
  <c r="F93" i="6" l="1"/>
  <c r="C93" i="6"/>
  <c r="D93" i="6"/>
  <c r="H92" i="6"/>
  <c r="E92" i="6" s="1"/>
  <c r="G92" i="6" s="1"/>
  <c r="F94" i="6" l="1"/>
  <c r="C94" i="6"/>
  <c r="D94" i="6"/>
  <c r="H93" i="6"/>
  <c r="E93" i="6" s="1"/>
  <c r="G93" i="6" s="1"/>
  <c r="C95" i="6" l="1"/>
  <c r="F95" i="6"/>
  <c r="D95" i="6"/>
  <c r="H94" i="6"/>
  <c r="C96" i="6" l="1"/>
  <c r="F96" i="6"/>
  <c r="D96" i="6"/>
  <c r="E94" i="6"/>
  <c r="G94" i="6" s="1"/>
  <c r="H95" i="6"/>
  <c r="E95" i="6" s="1"/>
  <c r="G95" i="6" s="1"/>
  <c r="C97" i="6" l="1"/>
  <c r="F97" i="6"/>
  <c r="D97" i="6"/>
  <c r="H96" i="6"/>
  <c r="C98" i="6" l="1"/>
  <c r="F98" i="6"/>
  <c r="D98" i="6"/>
  <c r="E96" i="6"/>
  <c r="G96" i="6" s="1"/>
  <c r="H97" i="6"/>
  <c r="E97" i="6" s="1"/>
  <c r="G97" i="6" s="1"/>
  <c r="C99" i="6" l="1"/>
  <c r="F99" i="6"/>
  <c r="D99" i="6"/>
  <c r="H98" i="6"/>
  <c r="C100" i="6" l="1"/>
  <c r="F100" i="6"/>
  <c r="D100" i="6"/>
  <c r="E98" i="6"/>
  <c r="G98" i="6" s="1"/>
  <c r="H99" i="6"/>
  <c r="E99" i="6" s="1"/>
  <c r="G99" i="6" s="1"/>
  <c r="C101" i="6" l="1"/>
  <c r="F101" i="6"/>
  <c r="D101" i="6"/>
  <c r="H100" i="6"/>
  <c r="E100" i="6" s="1"/>
  <c r="G100" i="6" s="1"/>
  <c r="D102" i="6" l="1"/>
  <c r="C102" i="6"/>
  <c r="F102" i="6"/>
  <c r="H101" i="6"/>
  <c r="E101" i="6" s="1"/>
  <c r="G101" i="6" s="1"/>
  <c r="C103" i="6" l="1"/>
  <c r="F103" i="6"/>
  <c r="D103" i="6"/>
  <c r="H102" i="6"/>
  <c r="E102" i="6" s="1"/>
  <c r="G102" i="6" s="1"/>
  <c r="C104" i="6" l="1"/>
  <c r="F104" i="6"/>
  <c r="D104" i="6"/>
  <c r="H103" i="6"/>
  <c r="E103" i="6" s="1"/>
  <c r="G103" i="6" s="1"/>
  <c r="D105" i="6" l="1"/>
  <c r="C105" i="6"/>
  <c r="F105" i="6"/>
  <c r="H104" i="6"/>
  <c r="E104" i="6" s="1"/>
  <c r="G104" i="6" s="1"/>
  <c r="C106" i="6" l="1"/>
  <c r="F106" i="6"/>
  <c r="D106" i="6"/>
  <c r="H105" i="6"/>
  <c r="E105" i="6" s="1"/>
  <c r="G105" i="6" s="1"/>
  <c r="C107" i="6" l="1"/>
  <c r="F107" i="6"/>
  <c r="D107" i="6"/>
  <c r="H106" i="6"/>
  <c r="E106" i="6" s="1"/>
  <c r="G106" i="6" s="1"/>
  <c r="C108" i="6" l="1"/>
  <c r="F108" i="6"/>
  <c r="D108" i="6"/>
  <c r="H107" i="6"/>
  <c r="E107" i="6" s="1"/>
  <c r="G107" i="6" s="1"/>
  <c r="C109" i="6" l="1"/>
  <c r="F109" i="6"/>
  <c r="D109" i="6"/>
  <c r="H108" i="6"/>
  <c r="E108" i="6" s="1"/>
  <c r="G108" i="6" s="1"/>
  <c r="C110" i="6" l="1"/>
  <c r="F110" i="6"/>
  <c r="D110" i="6"/>
  <c r="H109" i="6"/>
  <c r="E109" i="6" s="1"/>
  <c r="G109" i="6" s="1"/>
  <c r="C111" i="6" l="1"/>
  <c r="F111" i="6"/>
  <c r="D111" i="6"/>
  <c r="H110" i="6"/>
  <c r="E110" i="6" s="1"/>
  <c r="G110" i="6" s="1"/>
  <c r="C112" i="6" l="1"/>
  <c r="F112" i="6"/>
  <c r="D112" i="6"/>
  <c r="H111" i="6"/>
  <c r="E111" i="6" s="1"/>
  <c r="G111" i="6" s="1"/>
  <c r="C113" i="6" l="1"/>
  <c r="F113" i="6"/>
  <c r="D113" i="6"/>
  <c r="H112" i="6"/>
  <c r="E112" i="6" s="1"/>
  <c r="G112" i="6" s="1"/>
  <c r="C114" i="6" l="1"/>
  <c r="F114" i="6"/>
  <c r="D114" i="6"/>
  <c r="H113" i="6"/>
  <c r="E113" i="6" s="1"/>
  <c r="G113" i="6" s="1"/>
  <c r="C115" i="6" l="1"/>
  <c r="F115" i="6"/>
  <c r="D115" i="6"/>
  <c r="H114" i="6"/>
  <c r="E114" i="6" s="1"/>
  <c r="G114" i="6" s="1"/>
  <c r="D116" i="6" l="1"/>
  <c r="C116" i="6"/>
  <c r="F116" i="6"/>
  <c r="H115" i="6"/>
  <c r="E115" i="6" s="1"/>
  <c r="G115" i="6" s="1"/>
  <c r="C117" i="6" l="1"/>
  <c r="D117" i="6"/>
  <c r="F117" i="6"/>
  <c r="H116" i="6"/>
  <c r="E116" i="6" s="1"/>
  <c r="G116" i="6" s="1"/>
  <c r="F118" i="6" l="1"/>
  <c r="C118" i="6"/>
  <c r="D118" i="6"/>
  <c r="H117" i="6"/>
  <c r="E117" i="6" s="1"/>
  <c r="G117" i="6" s="1"/>
  <c r="C119" i="6" l="1"/>
  <c r="F119" i="6"/>
  <c r="D119" i="6"/>
  <c r="H118" i="6"/>
  <c r="C120" i="6" l="1"/>
  <c r="F120" i="6"/>
  <c r="D120" i="6"/>
  <c r="E118" i="6"/>
  <c r="G118" i="6" s="1"/>
  <c r="H119" i="6"/>
  <c r="C121" i="6" l="1"/>
  <c r="F121" i="6"/>
  <c r="D121" i="6"/>
  <c r="E119" i="6"/>
  <c r="G119" i="6" s="1"/>
  <c r="H120" i="6"/>
  <c r="E120" i="6" s="1"/>
  <c r="G120" i="6" s="1"/>
  <c r="C122" i="6" l="1"/>
  <c r="F122" i="6"/>
  <c r="D122" i="6"/>
  <c r="H121" i="6"/>
  <c r="C123" i="6" l="1"/>
  <c r="F123" i="6"/>
  <c r="D123" i="6"/>
  <c r="E121" i="6"/>
  <c r="G121" i="6" s="1"/>
  <c r="H122" i="6"/>
  <c r="E122" i="6" s="1"/>
  <c r="G122" i="6" s="1"/>
  <c r="C124" i="6" l="1"/>
  <c r="F124" i="6"/>
  <c r="D124" i="6"/>
  <c r="H123" i="6"/>
  <c r="E123" i="6" s="1"/>
  <c r="G123" i="6" s="1"/>
  <c r="C125" i="6" l="1"/>
  <c r="F125" i="6"/>
  <c r="D125" i="6"/>
  <c r="H124" i="6"/>
  <c r="E124" i="6" s="1"/>
  <c r="G124" i="6" s="1"/>
  <c r="D126" i="6" l="1"/>
  <c r="C126" i="6"/>
  <c r="F126" i="6"/>
  <c r="H125" i="6"/>
  <c r="E125" i="6" s="1"/>
  <c r="G125" i="6" s="1"/>
  <c r="C127" i="6" l="1"/>
  <c r="F127" i="6"/>
  <c r="D127" i="6"/>
  <c r="H126" i="6"/>
  <c r="E126" i="6" s="1"/>
  <c r="G126" i="6" s="1"/>
  <c r="C128" i="6" l="1"/>
  <c r="F128" i="6"/>
  <c r="D128" i="6"/>
  <c r="H127" i="6"/>
  <c r="E127" i="6" s="1"/>
  <c r="G127" i="6" s="1"/>
  <c r="D129" i="6" l="1"/>
  <c r="C129" i="6"/>
  <c r="F129" i="6"/>
  <c r="H128" i="6"/>
  <c r="E128" i="6" s="1"/>
  <c r="G128" i="6" s="1"/>
  <c r="C130" i="6" l="1"/>
  <c r="F130" i="6"/>
  <c r="D130" i="6"/>
  <c r="H129" i="6"/>
  <c r="E129" i="6" s="1"/>
  <c r="G129" i="6" s="1"/>
  <c r="C131" i="6" l="1"/>
  <c r="F131" i="6"/>
  <c r="D131" i="6"/>
  <c r="H130" i="6"/>
  <c r="E130" i="6" s="1"/>
  <c r="G130" i="6" s="1"/>
  <c r="C132" i="6" l="1"/>
  <c r="F132" i="6"/>
  <c r="D132" i="6"/>
  <c r="H131" i="6"/>
  <c r="E131" i="6" s="1"/>
  <c r="G131" i="6" s="1"/>
  <c r="C133" i="6" l="1"/>
  <c r="F133" i="6"/>
  <c r="D133" i="6"/>
  <c r="H132" i="6"/>
  <c r="E132" i="6" s="1"/>
  <c r="G132" i="6" s="1"/>
  <c r="C134" i="6" l="1"/>
  <c r="F134" i="6"/>
  <c r="D134" i="6"/>
  <c r="H133" i="6"/>
  <c r="E133" i="6" s="1"/>
  <c r="G133" i="6" s="1"/>
  <c r="C135" i="6" l="1"/>
  <c r="F135" i="6"/>
  <c r="D135" i="6"/>
  <c r="H134" i="6"/>
  <c r="E134" i="6" s="1"/>
  <c r="G134" i="6" s="1"/>
  <c r="C136" i="6" l="1"/>
  <c r="F136" i="6"/>
  <c r="D136" i="6"/>
  <c r="H135" i="6"/>
  <c r="E135" i="6" s="1"/>
  <c r="G135" i="6" s="1"/>
  <c r="C137" i="6" l="1"/>
  <c r="F137" i="6"/>
  <c r="D137" i="6"/>
  <c r="H136" i="6"/>
  <c r="E136" i="6" s="1"/>
  <c r="G136" i="6" s="1"/>
  <c r="C138" i="6" l="1"/>
  <c r="F138" i="6"/>
  <c r="D138" i="6"/>
  <c r="H137" i="6"/>
  <c r="E137" i="6" s="1"/>
  <c r="G137" i="6" s="1"/>
  <c r="C139" i="6" l="1"/>
  <c r="F139" i="6"/>
  <c r="D139" i="6"/>
  <c r="H138" i="6"/>
  <c r="E138" i="6" s="1"/>
  <c r="G138" i="6" s="1"/>
  <c r="D140" i="6" l="1"/>
  <c r="C140" i="6"/>
  <c r="F140" i="6"/>
  <c r="H139" i="6"/>
  <c r="E139" i="6" s="1"/>
  <c r="G139" i="6" s="1"/>
  <c r="F141" i="6" l="1"/>
  <c r="C141" i="6"/>
  <c r="D141" i="6"/>
  <c r="H140" i="6"/>
  <c r="E140" i="6" s="1"/>
  <c r="G140" i="6" s="1"/>
  <c r="D142" i="6" l="1"/>
  <c r="F142" i="6"/>
  <c r="C142" i="6"/>
  <c r="H141" i="6"/>
  <c r="E141" i="6" s="1"/>
  <c r="G141" i="6" s="1"/>
  <c r="C143" i="6" l="1"/>
  <c r="F143" i="6"/>
  <c r="D143" i="6"/>
  <c r="H142" i="6"/>
  <c r="E142" i="6" s="1"/>
  <c r="G142" i="6" s="1"/>
  <c r="C144" i="6" l="1"/>
  <c r="F144" i="6"/>
  <c r="D144" i="6"/>
  <c r="H143" i="6"/>
  <c r="E143" i="6" s="1"/>
  <c r="G143" i="6" s="1"/>
  <c r="C145" i="6" l="1"/>
  <c r="F145" i="6"/>
  <c r="D145" i="6"/>
  <c r="H144" i="6"/>
  <c r="E144" i="6" s="1"/>
  <c r="G144" i="6" s="1"/>
  <c r="C146" i="6" l="1"/>
  <c r="F146" i="6"/>
  <c r="D146" i="6"/>
  <c r="H145" i="6"/>
  <c r="E145" i="6" s="1"/>
  <c r="G145" i="6" s="1"/>
  <c r="C147" i="6" l="1"/>
  <c r="F147" i="6"/>
  <c r="D147" i="6"/>
  <c r="H146" i="6"/>
  <c r="E146" i="6" s="1"/>
  <c r="G146" i="6" s="1"/>
  <c r="C148" i="6" l="1"/>
  <c r="F148" i="6"/>
  <c r="D148" i="6"/>
  <c r="H147" i="6"/>
  <c r="E147" i="6" s="1"/>
  <c r="G147" i="6" s="1"/>
  <c r="C149" i="6" l="1"/>
  <c r="F149" i="6"/>
  <c r="D149" i="6"/>
  <c r="H148" i="6"/>
  <c r="E148" i="6" s="1"/>
  <c r="G148" i="6" s="1"/>
  <c r="D150" i="6" l="1"/>
  <c r="C150" i="6"/>
  <c r="F150" i="6"/>
  <c r="H149" i="6"/>
  <c r="E149" i="6" s="1"/>
  <c r="G149" i="6" s="1"/>
  <c r="C151" i="6" l="1"/>
  <c r="F151" i="6"/>
  <c r="D151" i="6"/>
  <c r="H150" i="6"/>
  <c r="E150" i="6" s="1"/>
  <c r="G150" i="6" s="1"/>
  <c r="C152" i="6" l="1"/>
  <c r="F152" i="6"/>
  <c r="D152" i="6"/>
  <c r="H151" i="6"/>
  <c r="E151" i="6" s="1"/>
  <c r="G151" i="6" s="1"/>
  <c r="D153" i="6" l="1"/>
  <c r="C153" i="6"/>
  <c r="F153" i="6"/>
  <c r="H152" i="6"/>
  <c r="E152" i="6" s="1"/>
  <c r="G152" i="6" s="1"/>
  <c r="C154" i="6" l="1"/>
  <c r="F154" i="6"/>
  <c r="D154" i="6"/>
  <c r="H153" i="6"/>
  <c r="E153" i="6" s="1"/>
  <c r="G153" i="6" s="1"/>
  <c r="C155" i="6" l="1"/>
  <c r="F155" i="6"/>
  <c r="D155" i="6"/>
  <c r="H154" i="6"/>
  <c r="E154" i="6" s="1"/>
  <c r="G154" i="6" s="1"/>
  <c r="C156" i="6" l="1"/>
  <c r="F156" i="6"/>
  <c r="D156" i="6"/>
  <c r="H155" i="6"/>
  <c r="E155" i="6" s="1"/>
  <c r="G155" i="6" s="1"/>
  <c r="C157" i="6" l="1"/>
  <c r="F157" i="6"/>
  <c r="D157" i="6"/>
  <c r="H156" i="6"/>
  <c r="E156" i="6" s="1"/>
  <c r="G156" i="6" s="1"/>
  <c r="C158" i="6" l="1"/>
  <c r="F158" i="6"/>
  <c r="D158" i="6"/>
  <c r="H157" i="6"/>
  <c r="E157" i="6" s="1"/>
  <c r="G157" i="6" s="1"/>
  <c r="C159" i="6" l="1"/>
  <c r="F159" i="6"/>
  <c r="D159" i="6"/>
  <c r="H158" i="6"/>
  <c r="E158" i="6" s="1"/>
  <c r="G158" i="6" s="1"/>
  <c r="C160" i="6" l="1"/>
  <c r="F160" i="6"/>
  <c r="D160" i="6"/>
  <c r="H159" i="6"/>
  <c r="E159" i="6" s="1"/>
  <c r="G159" i="6" s="1"/>
  <c r="C161" i="6" l="1"/>
  <c r="F161" i="6"/>
  <c r="D161" i="6"/>
  <c r="H160" i="6"/>
  <c r="E160" i="6" s="1"/>
  <c r="G160" i="6" s="1"/>
  <c r="C162" i="6" l="1"/>
  <c r="F162" i="6"/>
  <c r="D162" i="6"/>
  <c r="H161" i="6"/>
  <c r="E161" i="6" s="1"/>
  <c r="G161" i="6" s="1"/>
  <c r="C163" i="6" l="1"/>
  <c r="F163" i="6"/>
  <c r="D163" i="6"/>
  <c r="H162" i="6"/>
  <c r="E162" i="6" s="1"/>
  <c r="G162" i="6" s="1"/>
  <c r="D164" i="6" l="1"/>
  <c r="C164" i="6"/>
  <c r="F164" i="6"/>
  <c r="H163" i="6"/>
  <c r="E163" i="6" s="1"/>
  <c r="G163" i="6" s="1"/>
  <c r="C165" i="6" l="1"/>
  <c r="D165" i="6"/>
  <c r="F165" i="6"/>
  <c r="H164" i="6"/>
  <c r="E164" i="6" s="1"/>
  <c r="G164" i="6" s="1"/>
  <c r="F166" i="6" l="1"/>
  <c r="C166" i="6"/>
  <c r="D166" i="6"/>
  <c r="H165" i="6"/>
  <c r="E165" i="6" s="1"/>
  <c r="G165" i="6" s="1"/>
  <c r="C167" i="6" l="1"/>
  <c r="F167" i="6"/>
  <c r="D167" i="6"/>
  <c r="H166" i="6"/>
  <c r="E166" i="6" s="1"/>
  <c r="G166" i="6" s="1"/>
  <c r="C168" i="6" l="1"/>
  <c r="F168" i="6"/>
  <c r="D168" i="6"/>
  <c r="H167" i="6"/>
  <c r="E167" i="6" s="1"/>
  <c r="G167" i="6" s="1"/>
  <c r="C169" i="6" l="1"/>
  <c r="F169" i="6"/>
  <c r="D169" i="6"/>
  <c r="H168" i="6"/>
  <c r="E168" i="6" s="1"/>
  <c r="G168" i="6" s="1"/>
  <c r="C170" i="6" l="1"/>
  <c r="F170" i="6"/>
  <c r="D170" i="6"/>
  <c r="H169" i="6"/>
  <c r="E169" i="6" s="1"/>
  <c r="G169" i="6" s="1"/>
  <c r="C171" i="6" l="1"/>
  <c r="F171" i="6"/>
  <c r="D171" i="6"/>
  <c r="H170" i="6"/>
  <c r="E170" i="6" s="1"/>
  <c r="G170" i="6" s="1"/>
  <c r="C172" i="6" l="1"/>
  <c r="F172" i="6"/>
  <c r="D172" i="6"/>
  <c r="H171" i="6"/>
  <c r="E171" i="6" s="1"/>
  <c r="G171" i="6" s="1"/>
  <c r="C173" i="6" l="1"/>
  <c r="F173" i="6"/>
  <c r="D173" i="6"/>
  <c r="H172" i="6"/>
  <c r="E172" i="6" s="1"/>
  <c r="G172" i="6" s="1"/>
  <c r="D174" i="6" l="1"/>
  <c r="C174" i="6"/>
  <c r="F174" i="6"/>
  <c r="H173" i="6"/>
  <c r="E173" i="6" s="1"/>
  <c r="G173" i="6" s="1"/>
  <c r="C175" i="6" l="1"/>
  <c r="F175" i="6"/>
  <c r="D175" i="6"/>
  <c r="H174" i="6"/>
  <c r="E174" i="6" s="1"/>
  <c r="G174" i="6" s="1"/>
  <c r="C176" i="6" l="1"/>
  <c r="F176" i="6"/>
  <c r="D176" i="6"/>
  <c r="H175" i="6"/>
  <c r="E175" i="6" s="1"/>
  <c r="G175" i="6" s="1"/>
  <c r="D177" i="6" l="1"/>
  <c r="C177" i="6"/>
  <c r="F177" i="6"/>
  <c r="H176" i="6"/>
  <c r="E176" i="6" s="1"/>
  <c r="G176" i="6" s="1"/>
  <c r="C178" i="6" l="1"/>
  <c r="F178" i="6"/>
  <c r="D178" i="6"/>
  <c r="H177" i="6"/>
  <c r="E177" i="6" s="1"/>
  <c r="G177" i="6" s="1"/>
  <c r="C179" i="6" l="1"/>
  <c r="F179" i="6"/>
  <c r="D179" i="6"/>
  <c r="H178" i="6"/>
  <c r="E178" i="6" s="1"/>
  <c r="G178" i="6" s="1"/>
  <c r="C180" i="6" l="1"/>
  <c r="F180" i="6"/>
  <c r="D180" i="6"/>
  <c r="H179" i="6"/>
  <c r="E179" i="6" s="1"/>
  <c r="G179" i="6" s="1"/>
  <c r="C181" i="6" l="1"/>
  <c r="F181" i="6"/>
  <c r="D181" i="6"/>
  <c r="H180" i="6"/>
  <c r="E180" i="6" s="1"/>
  <c r="G180" i="6" s="1"/>
  <c r="C182" i="6" l="1"/>
  <c r="F182" i="6"/>
  <c r="D182" i="6"/>
  <c r="H181" i="6"/>
  <c r="E181" i="6" s="1"/>
  <c r="G181" i="6" s="1"/>
  <c r="C183" i="6" l="1"/>
  <c r="F183" i="6"/>
  <c r="D183" i="6"/>
  <c r="H182" i="6"/>
  <c r="E182" i="6" s="1"/>
  <c r="G182" i="6" s="1"/>
  <c r="C184" i="6" l="1"/>
  <c r="F184" i="6"/>
  <c r="D184" i="6"/>
  <c r="H183" i="6"/>
  <c r="E183" i="6" s="1"/>
  <c r="G183" i="6" s="1"/>
  <c r="C185" i="6" l="1"/>
  <c r="F185" i="6"/>
  <c r="D185" i="6"/>
  <c r="H184" i="6"/>
  <c r="E184" i="6" s="1"/>
  <c r="G184" i="6" s="1"/>
  <c r="C186" i="6" l="1"/>
  <c r="F186" i="6"/>
  <c r="D186" i="6"/>
  <c r="H185" i="6"/>
  <c r="E185" i="6" s="1"/>
  <c r="G185" i="6" s="1"/>
  <c r="C187" i="6" l="1"/>
  <c r="F187" i="6"/>
  <c r="D187" i="6"/>
  <c r="H186" i="6"/>
  <c r="E186" i="6" s="1"/>
  <c r="G186" i="6" s="1"/>
  <c r="D188" i="6" l="1"/>
  <c r="C188" i="6"/>
  <c r="F188" i="6"/>
  <c r="H187" i="6"/>
  <c r="E187" i="6" s="1"/>
  <c r="G187" i="6" s="1"/>
  <c r="F189" i="6" l="1"/>
  <c r="C189" i="6"/>
  <c r="D189" i="6"/>
  <c r="H188" i="6"/>
  <c r="E188" i="6" s="1"/>
  <c r="G188" i="6" s="1"/>
  <c r="D190" i="6" l="1"/>
  <c r="F190" i="6"/>
  <c r="C190" i="6"/>
  <c r="H189" i="6"/>
  <c r="E189" i="6" s="1"/>
  <c r="G189" i="6" s="1"/>
  <c r="C191" i="6" l="1"/>
  <c r="F191" i="6"/>
  <c r="D191" i="6"/>
  <c r="H190" i="6"/>
  <c r="E190" i="6" s="1"/>
  <c r="G190" i="6" s="1"/>
  <c r="C192" i="6" l="1"/>
  <c r="F192" i="6"/>
  <c r="D192" i="6"/>
  <c r="H191" i="6"/>
  <c r="E191" i="6" s="1"/>
  <c r="G191" i="6" s="1"/>
  <c r="C193" i="6" l="1"/>
  <c r="F193" i="6"/>
  <c r="D193" i="6"/>
  <c r="H192" i="6"/>
  <c r="E192" i="6" s="1"/>
  <c r="G192" i="6" s="1"/>
  <c r="C194" i="6" l="1"/>
  <c r="F194" i="6"/>
  <c r="D194" i="6"/>
  <c r="H193" i="6"/>
  <c r="E193" i="6" s="1"/>
  <c r="G193" i="6" s="1"/>
  <c r="C195" i="6" l="1"/>
  <c r="F195" i="6"/>
  <c r="D195" i="6"/>
  <c r="H194" i="6"/>
  <c r="E194" i="6" s="1"/>
  <c r="G194" i="6" s="1"/>
  <c r="C196" i="6" l="1"/>
  <c r="F196" i="6"/>
  <c r="D196" i="6"/>
  <c r="H195" i="6"/>
  <c r="E195" i="6" s="1"/>
  <c r="G195" i="6" s="1"/>
  <c r="C197" i="6" l="1"/>
  <c r="F197" i="6"/>
  <c r="D197" i="6"/>
  <c r="H196" i="6"/>
  <c r="E196" i="6" s="1"/>
  <c r="G196" i="6" s="1"/>
  <c r="D198" i="6" l="1"/>
  <c r="C198" i="6"/>
  <c r="F198" i="6"/>
  <c r="H197" i="6"/>
  <c r="E197" i="6" s="1"/>
  <c r="G197" i="6" s="1"/>
  <c r="C199" i="6" l="1"/>
  <c r="F199" i="6"/>
  <c r="D199" i="6"/>
  <c r="H198" i="6"/>
  <c r="E198" i="6" s="1"/>
  <c r="G198" i="6" s="1"/>
  <c r="C200" i="6" l="1"/>
  <c r="F200" i="6"/>
  <c r="D200" i="6"/>
  <c r="H199" i="6"/>
  <c r="E199" i="6" s="1"/>
  <c r="G199" i="6" s="1"/>
  <c r="D201" i="6" l="1"/>
  <c r="C201" i="6"/>
  <c r="F201" i="6"/>
  <c r="H200" i="6"/>
  <c r="E200" i="6" s="1"/>
  <c r="G200" i="6" s="1"/>
  <c r="C202" i="6" l="1"/>
  <c r="F202" i="6"/>
  <c r="D202" i="6"/>
  <c r="H201" i="6"/>
  <c r="E201" i="6" s="1"/>
  <c r="G201" i="6" s="1"/>
  <c r="C203" i="6" l="1"/>
  <c r="F203" i="6"/>
  <c r="D203" i="6"/>
  <c r="H202" i="6"/>
  <c r="E202" i="6" s="1"/>
  <c r="G202" i="6" s="1"/>
  <c r="C204" i="6" l="1"/>
  <c r="F204" i="6"/>
  <c r="D204" i="6"/>
  <c r="H203" i="6"/>
  <c r="E203" i="6" s="1"/>
  <c r="G203" i="6" s="1"/>
  <c r="C205" i="6" l="1"/>
  <c r="F205" i="6"/>
  <c r="D205" i="6"/>
  <c r="H204" i="6"/>
  <c r="E204" i="6" s="1"/>
  <c r="G204" i="6" s="1"/>
  <c r="C206" i="6" l="1"/>
  <c r="F206" i="6"/>
  <c r="D206" i="6"/>
  <c r="H205" i="6"/>
  <c r="E205" i="6" s="1"/>
  <c r="G205" i="6" s="1"/>
  <c r="C207" i="6" l="1"/>
  <c r="F207" i="6"/>
  <c r="D207" i="6"/>
  <c r="H206" i="6"/>
  <c r="E206" i="6" s="1"/>
  <c r="G206" i="6" s="1"/>
  <c r="C208" i="6" l="1"/>
  <c r="F208" i="6"/>
  <c r="D208" i="6"/>
  <c r="H207" i="6"/>
  <c r="E207" i="6" s="1"/>
  <c r="G207" i="6" s="1"/>
  <c r="C209" i="6" l="1"/>
  <c r="F209" i="6"/>
  <c r="D209" i="6"/>
  <c r="H208" i="6"/>
  <c r="E208" i="6" s="1"/>
  <c r="G208" i="6" s="1"/>
  <c r="C210" i="6" l="1"/>
  <c r="F210" i="6"/>
  <c r="D210" i="6"/>
  <c r="H209" i="6"/>
  <c r="E209" i="6" s="1"/>
  <c r="G209" i="6" s="1"/>
  <c r="C211" i="6" l="1"/>
  <c r="F211" i="6"/>
  <c r="D211" i="6"/>
  <c r="H210" i="6"/>
  <c r="E210" i="6" s="1"/>
  <c r="G210" i="6" s="1"/>
  <c r="D212" i="6" l="1"/>
  <c r="C212" i="6"/>
  <c r="F212" i="6"/>
  <c r="H211" i="6"/>
  <c r="E211" i="6" s="1"/>
  <c r="G211" i="6" s="1"/>
  <c r="C213" i="6" l="1"/>
  <c r="D213" i="6"/>
  <c r="F213" i="6"/>
  <c r="H212" i="6"/>
  <c r="E212" i="6" s="1"/>
  <c r="G212" i="6" s="1"/>
  <c r="C214" i="6" l="1"/>
  <c r="D214" i="6"/>
  <c r="F214" i="6"/>
  <c r="H213" i="6"/>
  <c r="E213" i="6" s="1"/>
  <c r="G213" i="6" s="1"/>
  <c r="F215" i="6" l="1"/>
  <c r="C215" i="6"/>
  <c r="D215" i="6"/>
  <c r="H214" i="6"/>
  <c r="E214" i="6" s="1"/>
  <c r="G214" i="6" s="1"/>
  <c r="C216" i="6" l="1"/>
  <c r="F216" i="6"/>
  <c r="D216" i="6"/>
  <c r="H215" i="6"/>
  <c r="E215" i="6" s="1"/>
  <c r="G215" i="6" s="1"/>
  <c r="C217" i="6" l="1"/>
  <c r="D217" i="6"/>
  <c r="F217" i="6"/>
  <c r="H216" i="6"/>
  <c r="E216" i="6" s="1"/>
  <c r="G216" i="6" s="1"/>
  <c r="C218" i="6" l="1"/>
  <c r="F218" i="6"/>
  <c r="D218" i="6"/>
  <c r="H217" i="6"/>
  <c r="E217" i="6" s="1"/>
  <c r="G217" i="6" s="1"/>
  <c r="C219" i="6" l="1"/>
  <c r="D219" i="6"/>
  <c r="F219" i="6"/>
  <c r="H218" i="6"/>
  <c r="E218" i="6" s="1"/>
  <c r="G218" i="6" s="1"/>
  <c r="C220" i="6" l="1"/>
  <c r="F220" i="6"/>
  <c r="D220" i="6"/>
  <c r="H219" i="6"/>
  <c r="E219" i="6" s="1"/>
  <c r="G219" i="6" s="1"/>
  <c r="C221" i="6" l="1"/>
  <c r="D221" i="6"/>
  <c r="F221" i="6"/>
  <c r="H220" i="6"/>
  <c r="E220" i="6" s="1"/>
  <c r="G220" i="6" s="1"/>
  <c r="C222" i="6" l="1"/>
  <c r="F222" i="6"/>
  <c r="D222" i="6"/>
  <c r="H221" i="6"/>
  <c r="E221" i="6" s="1"/>
  <c r="G221" i="6" s="1"/>
  <c r="F223" i="6" l="1"/>
  <c r="C223" i="6"/>
  <c r="D223" i="6"/>
  <c r="H222" i="6"/>
  <c r="E222" i="6" s="1"/>
  <c r="G222" i="6" s="1"/>
  <c r="C224" i="6" l="1"/>
  <c r="F224" i="6"/>
  <c r="D224" i="6"/>
  <c r="H223" i="6"/>
  <c r="E223" i="6" s="1"/>
  <c r="G223" i="6" s="1"/>
  <c r="C225" i="6" l="1"/>
  <c r="D225" i="6"/>
  <c r="F225" i="6"/>
  <c r="H224" i="6"/>
  <c r="E224" i="6" s="1"/>
  <c r="G224" i="6" s="1"/>
  <c r="F226" i="6" l="1"/>
  <c r="D226" i="6"/>
  <c r="C226" i="6"/>
  <c r="H225" i="6"/>
  <c r="E225" i="6" s="1"/>
  <c r="G225" i="6" s="1"/>
  <c r="C227" i="6" l="1"/>
  <c r="D227" i="6"/>
  <c r="F227" i="6"/>
  <c r="H226" i="6"/>
  <c r="E226" i="6" s="1"/>
  <c r="G226" i="6" s="1"/>
  <c r="C228" i="6" l="1"/>
  <c r="F228" i="6"/>
  <c r="D228" i="6"/>
  <c r="H227" i="6"/>
  <c r="E227" i="6" s="1"/>
  <c r="G227" i="6" s="1"/>
  <c r="C229" i="6" l="1"/>
  <c r="D229" i="6"/>
  <c r="F229" i="6"/>
  <c r="H228" i="6"/>
  <c r="E228" i="6" s="1"/>
  <c r="G228" i="6" s="1"/>
  <c r="C230" i="6" l="1"/>
  <c r="F230" i="6"/>
  <c r="D230" i="6"/>
  <c r="H229" i="6"/>
  <c r="E229" i="6" s="1"/>
  <c r="G229" i="6" s="1"/>
  <c r="C231" i="6" l="1"/>
  <c r="D231" i="6"/>
  <c r="F231" i="6"/>
  <c r="H230" i="6"/>
  <c r="E230" i="6" s="1"/>
  <c r="G230" i="6" s="1"/>
  <c r="C232" i="6" l="1"/>
  <c r="F232" i="6"/>
  <c r="D232" i="6"/>
  <c r="H231" i="6"/>
  <c r="E231" i="6" s="1"/>
  <c r="G231" i="6" s="1"/>
  <c r="C233" i="6" l="1"/>
  <c r="F233" i="6"/>
  <c r="D233" i="6"/>
  <c r="H232" i="6"/>
  <c r="E232" i="6" s="1"/>
  <c r="G232" i="6" s="1"/>
  <c r="C234" i="6" l="1"/>
  <c r="F234" i="6"/>
  <c r="D234" i="6"/>
  <c r="H233" i="6"/>
  <c r="E233" i="6" s="1"/>
  <c r="G233" i="6" s="1"/>
  <c r="C235" i="6" l="1"/>
  <c r="F235" i="6"/>
  <c r="D235" i="6"/>
  <c r="H234" i="6"/>
  <c r="E234" i="6" s="1"/>
  <c r="G234" i="6" s="1"/>
  <c r="C236" i="6" l="1"/>
  <c r="F236" i="6"/>
  <c r="D236" i="6"/>
  <c r="H235" i="6"/>
  <c r="E235" i="6" s="1"/>
  <c r="G235" i="6" s="1"/>
  <c r="C237" i="6" l="1"/>
  <c r="D237" i="6"/>
  <c r="F237" i="6"/>
  <c r="H236" i="6"/>
  <c r="E236" i="6" s="1"/>
  <c r="G236" i="6" s="1"/>
  <c r="D238" i="6" l="1"/>
  <c r="F238" i="6"/>
  <c r="C238" i="6"/>
  <c r="H237" i="6"/>
  <c r="E237" i="6" s="1"/>
  <c r="G237" i="6" s="1"/>
  <c r="C239" i="6" l="1"/>
  <c r="F239" i="6"/>
  <c r="D239" i="6"/>
  <c r="H238" i="6"/>
  <c r="E238" i="6" s="1"/>
  <c r="G238" i="6" s="1"/>
  <c r="C240" i="6" l="1"/>
  <c r="F240" i="6"/>
  <c r="D240" i="6"/>
  <c r="H239" i="6"/>
  <c r="E239" i="6" s="1"/>
  <c r="G239" i="6" s="1"/>
  <c r="C241" i="6" l="1"/>
  <c r="F241" i="6"/>
  <c r="D241" i="6"/>
  <c r="H240" i="6"/>
  <c r="E240" i="6" s="1"/>
  <c r="G240" i="6" s="1"/>
  <c r="C242" i="6" l="1"/>
  <c r="F242" i="6"/>
  <c r="D242" i="6"/>
  <c r="H241" i="6"/>
  <c r="E241" i="6" s="1"/>
  <c r="G241" i="6" s="1"/>
  <c r="C243" i="6" l="1"/>
  <c r="F243" i="6"/>
  <c r="D243" i="6"/>
  <c r="H242" i="6"/>
  <c r="E242" i="6" s="1"/>
  <c r="G242" i="6" s="1"/>
  <c r="C244" i="6" l="1"/>
  <c r="F244" i="6"/>
  <c r="D244" i="6"/>
  <c r="H243" i="6"/>
  <c r="E243" i="6" s="1"/>
  <c r="G243" i="6" s="1"/>
  <c r="C245" i="6" l="1"/>
  <c r="F245" i="6"/>
  <c r="D245" i="6"/>
  <c r="H244" i="6"/>
  <c r="E244" i="6" s="1"/>
  <c r="G244" i="6" s="1"/>
  <c r="D246" i="6" l="1"/>
  <c r="C246" i="6"/>
  <c r="F246" i="6"/>
  <c r="H245" i="6"/>
  <c r="E245" i="6" s="1"/>
  <c r="G245" i="6" s="1"/>
  <c r="C247" i="6" l="1"/>
  <c r="F247" i="6"/>
  <c r="D247" i="6"/>
  <c r="H246" i="6"/>
  <c r="E246" i="6" s="1"/>
  <c r="G246" i="6" s="1"/>
  <c r="C248" i="6" l="1"/>
  <c r="F248" i="6"/>
  <c r="D248" i="6"/>
  <c r="H247" i="6"/>
  <c r="E247" i="6" s="1"/>
  <c r="G247" i="6" s="1"/>
  <c r="C249" i="6" l="1"/>
  <c r="D249" i="6"/>
  <c r="F249" i="6"/>
  <c r="H248" i="6"/>
  <c r="E248" i="6" s="1"/>
  <c r="G248" i="6" s="1"/>
  <c r="H249" i="6" l="1"/>
  <c r="E249" i="6" s="1"/>
  <c r="G249" i="6" s="1"/>
</calcChain>
</file>

<file path=xl/sharedStrings.xml><?xml version="1.0" encoding="utf-8"?>
<sst xmlns="http://schemas.openxmlformats.org/spreadsheetml/2006/main" count="15" uniqueCount="15">
  <si>
    <t>年</t>
    <rPh sb="0" eb="1">
      <t>ネン</t>
    </rPh>
    <phoneticPr fontId="2"/>
  </si>
  <si>
    <t>月</t>
    <rPh sb="0" eb="1">
      <t>ツキ</t>
    </rPh>
    <phoneticPr fontId="2"/>
  </si>
  <si>
    <t>初次存入金額</t>
    <rPh sb="0" eb="2">
      <t>ショカイ</t>
    </rPh>
    <rPh sb="2" eb="4">
      <t>アズケイレ</t>
    </rPh>
    <rPh sb="4" eb="6">
      <t>キンガク</t>
    </rPh>
    <phoneticPr fontId="2"/>
  </si>
  <si>
    <t>存款期數</t>
    <rPh sb="0" eb="2">
      <t>ツミタテ</t>
    </rPh>
    <rPh sb="2" eb="4">
      <t>カイスウ</t>
    </rPh>
    <phoneticPr fontId="2"/>
  </si>
  <si>
    <t>期數</t>
    <rPh sb="0" eb="1">
      <t>カイ</t>
    </rPh>
    <phoneticPr fontId="2"/>
  </si>
  <si>
    <t>存款日期</t>
    <rPh sb="0" eb="2">
      <t>ツミタテ</t>
    </rPh>
    <rPh sb="2" eb="3">
      <t>ツキ</t>
    </rPh>
    <phoneticPr fontId="2"/>
  </si>
  <si>
    <t>期滿月份</t>
    <rPh sb="0" eb="2">
      <t>ツミタテマンキツキ</t>
    </rPh>
    <phoneticPr fontId="2"/>
  </si>
  <si>
    <t>毎月存入金額</t>
    <rPh sb="0" eb="2">
      <t>マイツキ</t>
    </rPh>
    <rPh sb="3" eb="5">
      <t>ツミタテ</t>
    </rPh>
    <rPh sb="5" eb="6">
      <t>ガク</t>
    </rPh>
    <phoneticPr fontId="2"/>
  </si>
  <si>
    <t>存款利率</t>
    <rPh sb="0" eb="2">
      <t>マイツキツミタテガク</t>
    </rPh>
    <phoneticPr fontId="2"/>
  </si>
  <si>
    <t>存款年數</t>
    <rPh sb="0" eb="2">
      <t>ツミタテ</t>
    </rPh>
    <rPh sb="2" eb="4">
      <t>キカンネンネン</t>
    </rPh>
    <phoneticPr fontId="2"/>
  </si>
  <si>
    <t>投入本金總額</t>
    <rPh sb="0" eb="2">
      <t>アズケイレ</t>
    </rPh>
    <rPh sb="2" eb="4">
      <t>キンガクルイケイ</t>
    </rPh>
    <phoneticPr fontId="2"/>
  </si>
  <si>
    <t>存款總計</t>
    <rPh sb="2" eb="4">
      <t>リソクガク</t>
    </rPh>
    <phoneticPr fontId="2"/>
  </si>
  <si>
    <t>利息額</t>
    <rPh sb="0" eb="2">
      <t>ツミタテゴウケイ</t>
    </rPh>
    <phoneticPr fontId="2"/>
  </si>
  <si>
    <t>利息額</t>
    <phoneticPr fontId="5" type="noConversion"/>
  </si>
  <si>
    <t>存款開始日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</si>
</sst>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8" formatCode="&quot;$&quot;#,##0.00;[Red]\-&quot;$&quot;#,##0.00"/>
    <numFmt numFmtId="44" formatCode="_-&quot;$&quot;* #,##0.00_-;\-&quot;$&quot;* #,##0.00_-;_-&quot;$&quot;* &quot;-&quot;??_-;_-@_-"/>
    <numFmt numFmtId="176" formatCode="&quot;¥&quot;#,##0;[Red]&quot;¥&quot;\-#,##0"/>
    <numFmt numFmtId="177" formatCode="yyyy"/>
    <numFmt numFmtId="178" formatCode="m"/>
    <numFmt numFmtId="179" formatCode="yyyy&quot;年&quot;m&quot;月&quot;;@"/>
    <numFmt numFmtId="180" formatCode="0.0%"/>
    <numFmt numFmtId="181" formatCode="&quot;$&quot;#,##0.00"/>
    <numFmt numFmtId="182" formatCode="yyyy&quot;年&quot;m&quot;月&quot;d&quot;日&quot;;@"/>
  </numFmts>
  <fonts count="8" x14ac:knownFonts="1">
    <font>
      <sz val="11"/>
      <color theme="1"/>
      <name val="新細明體"/>
      <family val="2"/>
      <charset val="128"/>
      <scheme val="minor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9"/>
      <name val="新細明體"/>
      <family val="3"/>
      <charset val="136"/>
      <scheme val="minor"/>
    </font>
    <font>
      <b/>
      <sz val="12"/>
      <name val="微軟正黑體"/>
      <family val="2"/>
      <charset val="136"/>
    </font>
    <font>
      <b/>
      <sz val="14"/>
      <name val="微軟正黑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6">
    <border>
      <left/>
      <right/>
      <top/>
      <bottom/>
      <diagonal/>
    </border>
    <border>
      <left style="double">
        <color theme="9" tint="-0.499984740745262"/>
      </left>
      <right style="thin">
        <color theme="9" tint="-0.499984740745262"/>
      </right>
      <top style="double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double">
        <color theme="9" tint="-0.499984740745262"/>
      </top>
      <bottom style="thin">
        <color theme="9" tint="-0.499984740745262"/>
      </bottom>
      <diagonal/>
    </border>
    <border>
      <left style="double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double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double">
        <color theme="9" tint="-0.499984740745262"/>
      </left>
      <right style="thin">
        <color theme="9" tint="-0.499984740745262"/>
      </right>
      <top style="thin">
        <color theme="9" tint="-0.499984740745262"/>
      </top>
      <bottom style="double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double">
        <color theme="9" tint="-0.499984740745262"/>
      </bottom>
      <diagonal/>
    </border>
    <border>
      <left style="thin">
        <color theme="9" tint="-0.499984740745262"/>
      </left>
      <right style="double">
        <color theme="9" tint="-0.499984740745262"/>
      </right>
      <top style="thin">
        <color theme="9" tint="-0.499984740745262"/>
      </top>
      <bottom style="double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double">
        <color theme="9" tint="-0.499984740745262"/>
      </right>
      <top style="double">
        <color theme="9" tint="-0.499984740745262"/>
      </top>
      <bottom/>
      <diagonal/>
    </border>
    <border>
      <left style="thin">
        <color theme="9" tint="-0.499984740745262"/>
      </left>
      <right style="double">
        <color theme="9" tint="-0.499984740745262"/>
      </right>
      <top/>
      <bottom style="thin">
        <color theme="9" tint="-0.499984740745262"/>
      </bottom>
      <diagonal/>
    </border>
    <border>
      <left style="thick">
        <color theme="9" tint="-0.499984740745262"/>
      </left>
      <right style="thin">
        <color theme="9" tint="-0.499984740745262"/>
      </right>
      <top style="thick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ck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thick">
        <color theme="9" tint="-0.499984740745262"/>
      </right>
      <top style="thick">
        <color theme="9" tint="-0.499984740745262"/>
      </top>
      <bottom style="thin">
        <color theme="9" tint="-0.499984740745262"/>
      </bottom>
      <diagonal/>
    </border>
    <border>
      <left style="thick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thick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ck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ck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ck">
        <color theme="9" tint="-0.499984740745262"/>
      </bottom>
      <diagonal/>
    </border>
    <border>
      <left style="thin">
        <color theme="9" tint="-0.499984740745262"/>
      </left>
      <right style="thick">
        <color theme="9" tint="-0.499984740745262"/>
      </right>
      <top style="thin">
        <color theme="9" tint="-0.499984740745262"/>
      </top>
      <bottom style="thick">
        <color theme="9" tint="-0.499984740745262"/>
      </bottom>
      <diagonal/>
    </border>
    <border>
      <left style="thick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thick">
        <color theme="9" tint="-0.499984740745262"/>
      </right>
      <top style="thin">
        <color theme="9" tint="-0.499984740745262"/>
      </top>
      <bottom/>
      <diagonal/>
    </border>
    <border>
      <left style="thick">
        <color theme="9" tint="-0.499984740745262"/>
      </left>
      <right style="thin">
        <color theme="9" tint="-0.499984740745262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thick">
        <color theme="9" tint="-0.499984740745262"/>
      </right>
      <top/>
      <bottom style="thin">
        <color theme="9" tint="-0.499984740745262"/>
      </bottom>
      <diagonal/>
    </border>
    <border>
      <left style="thick">
        <color theme="9" tint="-0.499984740745262"/>
      </left>
      <right style="thin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thick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 style="thick">
        <color theme="9" tint="-0.499984740745262"/>
      </left>
      <right style="thin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499984740745262"/>
      </left>
      <right style="thick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499984740745262"/>
      </left>
      <right/>
      <top style="double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double">
        <color theme="9" tint="-0.499984740745262"/>
      </bottom>
      <diagonal/>
    </border>
    <border>
      <left style="double">
        <color theme="9" tint="-0.499984740745262"/>
      </left>
      <right style="thin">
        <color theme="9" tint="-0.499984740745262"/>
      </right>
      <top style="double">
        <color theme="9" tint="-0.499984740745262"/>
      </top>
      <bottom/>
      <diagonal/>
    </border>
    <border>
      <left style="double">
        <color theme="9" tint="-0.499984740745262"/>
      </left>
      <right style="thin">
        <color theme="9" tint="-0.499984740745262"/>
      </right>
      <top/>
      <bottom style="thin">
        <color theme="9" tint="-0.499984740745262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3" fillId="0" borderId="0" xfId="0" applyFont="1" applyProtection="1">
      <alignment vertical="center"/>
    </xf>
    <xf numFmtId="176" fontId="3" fillId="0" borderId="0" xfId="0" applyNumberFormat="1" applyFont="1" applyProtection="1">
      <alignment vertical="center"/>
    </xf>
    <xf numFmtId="0" fontId="3" fillId="2" borderId="0" xfId="0" applyFont="1" applyFill="1" applyProtection="1">
      <alignment vertical="center"/>
    </xf>
    <xf numFmtId="177" fontId="3" fillId="3" borderId="4" xfId="0" applyNumberFormat="1" applyFont="1" applyFill="1" applyBorder="1" applyProtection="1">
      <alignment vertical="center"/>
    </xf>
    <xf numFmtId="178" fontId="3" fillId="3" borderId="4" xfId="0" applyNumberFormat="1" applyFont="1" applyFill="1" applyBorder="1" applyProtection="1">
      <alignment vertical="center"/>
    </xf>
    <xf numFmtId="8" fontId="3" fillId="3" borderId="4" xfId="0" applyNumberFormat="1" applyFont="1" applyFill="1" applyBorder="1" applyProtection="1">
      <alignment vertical="center"/>
    </xf>
    <xf numFmtId="8" fontId="3" fillId="3" borderId="4" xfId="1" applyNumberFormat="1" applyFont="1" applyFill="1" applyBorder="1" applyProtection="1">
      <alignment vertical="center"/>
    </xf>
    <xf numFmtId="181" fontId="3" fillId="0" borderId="0" xfId="0" applyNumberFormat="1" applyFont="1" applyProtection="1">
      <alignment vertical="center"/>
    </xf>
    <xf numFmtId="0" fontId="3" fillId="0" borderId="0" xfId="0" applyFont="1" applyAlignment="1" applyProtection="1">
      <alignment horizontal="center" vertical="center"/>
    </xf>
    <xf numFmtId="0" fontId="4" fillId="6" borderId="0" xfId="0" applyFont="1" applyFill="1" applyProtection="1">
      <alignment vertical="center"/>
    </xf>
    <xf numFmtId="176" fontId="4" fillId="6" borderId="0" xfId="0" applyNumberFormat="1" applyFont="1" applyFill="1" applyProtection="1">
      <alignment vertical="center"/>
    </xf>
    <xf numFmtId="0" fontId="4" fillId="6" borderId="0" xfId="0" applyFont="1" applyFill="1" applyAlignment="1" applyProtection="1">
      <alignment horizontal="center" vertical="center"/>
    </xf>
    <xf numFmtId="181" fontId="4" fillId="6" borderId="0" xfId="0" applyNumberFormat="1" applyFont="1" applyFill="1" applyProtection="1">
      <alignment vertical="center"/>
    </xf>
    <xf numFmtId="0" fontId="3" fillId="3" borderId="15" xfId="0" applyFont="1" applyFill="1" applyBorder="1" applyProtection="1">
      <alignment vertical="center"/>
    </xf>
    <xf numFmtId="8" fontId="3" fillId="3" borderId="16" xfId="1" applyNumberFormat="1" applyFont="1" applyFill="1" applyBorder="1" applyProtection="1">
      <alignment vertical="center"/>
    </xf>
    <xf numFmtId="0" fontId="3" fillId="3" borderId="17" xfId="0" applyFont="1" applyFill="1" applyBorder="1" applyProtection="1">
      <alignment vertical="center"/>
    </xf>
    <xf numFmtId="177" fontId="3" fillId="3" borderId="18" xfId="0" applyNumberFormat="1" applyFont="1" applyFill="1" applyBorder="1" applyProtection="1">
      <alignment vertical="center"/>
    </xf>
    <xf numFmtId="178" fontId="3" fillId="3" borderId="18" xfId="0" applyNumberFormat="1" applyFont="1" applyFill="1" applyBorder="1" applyProtection="1">
      <alignment vertical="center"/>
    </xf>
    <xf numFmtId="8" fontId="3" fillId="3" borderId="18" xfId="1" applyNumberFormat="1" applyFont="1" applyFill="1" applyBorder="1" applyProtection="1">
      <alignment vertical="center"/>
    </xf>
    <xf numFmtId="8" fontId="3" fillId="3" borderId="18" xfId="0" applyNumberFormat="1" applyFont="1" applyFill="1" applyBorder="1" applyProtection="1">
      <alignment vertical="center"/>
    </xf>
    <xf numFmtId="8" fontId="3" fillId="3" borderId="19" xfId="1" applyNumberFormat="1" applyFont="1" applyFill="1" applyBorder="1" applyProtection="1">
      <alignment vertical="center"/>
    </xf>
    <xf numFmtId="0" fontId="3" fillId="3" borderId="23" xfId="0" applyFont="1" applyFill="1" applyBorder="1" applyProtection="1">
      <alignment vertical="center"/>
    </xf>
    <xf numFmtId="177" fontId="3" fillId="3" borderId="9" xfId="0" applyNumberFormat="1" applyFont="1" applyFill="1" applyBorder="1" applyProtection="1">
      <alignment vertical="center"/>
    </xf>
    <xf numFmtId="178" fontId="3" fillId="3" borderId="9" xfId="0" applyNumberFormat="1" applyFont="1" applyFill="1" applyBorder="1" applyProtection="1">
      <alignment vertical="center"/>
    </xf>
    <xf numFmtId="8" fontId="3" fillId="3" borderId="9" xfId="1" applyNumberFormat="1" applyFont="1" applyFill="1" applyBorder="1" applyProtection="1">
      <alignment vertical="center"/>
    </xf>
    <xf numFmtId="8" fontId="3" fillId="3" borderId="9" xfId="0" applyNumberFormat="1" applyFont="1" applyFill="1" applyBorder="1" applyProtection="1">
      <alignment vertical="center"/>
    </xf>
    <xf numFmtId="8" fontId="3" fillId="3" borderId="24" xfId="1" applyNumberFormat="1" applyFont="1" applyFill="1" applyBorder="1" applyProtection="1">
      <alignment vertical="center"/>
    </xf>
    <xf numFmtId="0" fontId="3" fillId="3" borderId="25" xfId="0" applyFont="1" applyFill="1" applyBorder="1" applyProtection="1">
      <alignment vertical="center"/>
    </xf>
    <xf numFmtId="177" fontId="3" fillId="3" borderId="26" xfId="0" applyNumberFormat="1" applyFont="1" applyFill="1" applyBorder="1" applyProtection="1">
      <alignment vertical="center"/>
    </xf>
    <xf numFmtId="178" fontId="3" fillId="3" borderId="26" xfId="0" applyNumberFormat="1" applyFont="1" applyFill="1" applyBorder="1" applyProtection="1">
      <alignment vertical="center"/>
    </xf>
    <xf numFmtId="8" fontId="3" fillId="3" borderId="26" xfId="1" applyNumberFormat="1" applyFont="1" applyFill="1" applyBorder="1" applyProtection="1">
      <alignment vertical="center"/>
    </xf>
    <xf numFmtId="8" fontId="3" fillId="3" borderId="26" xfId="0" applyNumberFormat="1" applyFont="1" applyFill="1" applyBorder="1" applyProtection="1">
      <alignment vertical="center"/>
    </xf>
    <xf numFmtId="8" fontId="3" fillId="3" borderId="27" xfId="1" applyNumberFormat="1" applyFont="1" applyFill="1" applyBorder="1" applyProtection="1">
      <alignment vertical="center"/>
    </xf>
    <xf numFmtId="0" fontId="3" fillId="3" borderId="28" xfId="0" applyFont="1" applyFill="1" applyBorder="1" applyProtection="1">
      <alignment vertical="center"/>
    </xf>
    <xf numFmtId="177" fontId="3" fillId="3" borderId="29" xfId="0" applyNumberFormat="1" applyFont="1" applyFill="1" applyBorder="1" applyProtection="1">
      <alignment vertical="center"/>
    </xf>
    <xf numFmtId="178" fontId="3" fillId="3" borderId="29" xfId="0" applyNumberFormat="1" applyFont="1" applyFill="1" applyBorder="1" applyProtection="1">
      <alignment vertical="center"/>
    </xf>
    <xf numFmtId="8" fontId="3" fillId="3" borderId="29" xfId="1" applyNumberFormat="1" applyFont="1" applyFill="1" applyBorder="1" applyProtection="1">
      <alignment vertical="center"/>
    </xf>
    <xf numFmtId="8" fontId="3" fillId="3" borderId="29" xfId="0" applyNumberFormat="1" applyFont="1" applyFill="1" applyBorder="1" applyProtection="1">
      <alignment vertical="center"/>
    </xf>
    <xf numFmtId="8" fontId="3" fillId="3" borderId="30" xfId="1" applyNumberFormat="1" applyFont="1" applyFill="1" applyBorder="1" applyProtection="1">
      <alignment vertical="center"/>
    </xf>
    <xf numFmtId="0" fontId="7" fillId="5" borderId="21" xfId="0" applyFont="1" applyFill="1" applyBorder="1" applyAlignment="1" applyProtection="1">
      <alignment horizontal="center" vertical="center"/>
    </xf>
    <xf numFmtId="0" fontId="3" fillId="7" borderId="5" xfId="0" applyFont="1" applyFill="1" applyBorder="1" applyProtection="1">
      <alignment vertical="center"/>
    </xf>
    <xf numFmtId="179" fontId="3" fillId="7" borderId="8" xfId="0" applyNumberFormat="1" applyFont="1" applyFill="1" applyBorder="1" applyProtection="1">
      <alignment vertical="center"/>
    </xf>
    <xf numFmtId="0" fontId="6" fillId="4" borderId="3" xfId="0" applyFont="1" applyFill="1" applyBorder="1" applyAlignment="1" applyProtection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181" fontId="3" fillId="0" borderId="31" xfId="2" applyNumberFormat="1" applyFont="1" applyBorder="1" applyProtection="1">
      <alignment vertical="center"/>
      <protection locked="0"/>
    </xf>
    <xf numFmtId="181" fontId="3" fillId="0" borderId="32" xfId="2" applyNumberFormat="1" applyFont="1" applyBorder="1" applyProtection="1">
      <alignment vertical="center"/>
      <protection locked="0"/>
    </xf>
    <xf numFmtId="180" fontId="3" fillId="0" borderId="32" xfId="0" applyNumberFormat="1" applyFont="1" applyBorder="1" applyProtection="1">
      <alignment vertical="center"/>
      <protection locked="0"/>
    </xf>
    <xf numFmtId="0" fontId="3" fillId="0" borderId="33" xfId="0" applyFont="1" applyBorder="1" applyProtection="1">
      <alignment vertical="center"/>
      <protection locked="0"/>
    </xf>
    <xf numFmtId="0" fontId="6" fillId="4" borderId="1" xfId="0" applyFont="1" applyFill="1" applyBorder="1" applyAlignment="1" applyProtection="1">
      <alignment horizontal="center" vertical="center"/>
    </xf>
    <xf numFmtId="0" fontId="6" fillId="4" borderId="2" xfId="0" applyFont="1" applyFill="1" applyBorder="1" applyAlignment="1" applyProtection="1">
      <alignment horizontal="center" vertical="center"/>
    </xf>
    <xf numFmtId="0" fontId="6" fillId="4" borderId="3" xfId="0" applyFont="1" applyFill="1" applyBorder="1" applyAlignment="1" applyProtection="1">
      <alignment horizontal="center" vertical="center"/>
    </xf>
    <xf numFmtId="0" fontId="6" fillId="4" borderId="4" xfId="0" applyFont="1" applyFill="1" applyBorder="1" applyAlignment="1" applyProtection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7" fillId="5" borderId="20" xfId="0" applyFont="1" applyFill="1" applyBorder="1" applyAlignment="1" applyProtection="1">
      <alignment horizontal="center" vertical="center"/>
    </xf>
    <xf numFmtId="0" fontId="7" fillId="5" borderId="13" xfId="0" applyFont="1" applyFill="1" applyBorder="1" applyAlignment="1" applyProtection="1">
      <alignment horizontal="center" vertical="center"/>
    </xf>
    <xf numFmtId="0" fontId="6" fillId="4" borderId="34" xfId="0" applyFont="1" applyFill="1" applyBorder="1" applyAlignment="1" applyProtection="1">
      <alignment horizontal="center" vertical="center"/>
    </xf>
    <xf numFmtId="0" fontId="6" fillId="4" borderId="35" xfId="0" applyFont="1" applyFill="1" applyBorder="1" applyAlignment="1" applyProtection="1">
      <alignment horizontal="center" vertical="center"/>
    </xf>
    <xf numFmtId="182" fontId="3" fillId="0" borderId="10" xfId="0" applyNumberFormat="1" applyFont="1" applyFill="1" applyBorder="1" applyAlignment="1" applyProtection="1">
      <alignment horizontal="center" vertical="center"/>
      <protection locked="0"/>
    </xf>
    <xf numFmtId="182" fontId="3" fillId="0" borderId="11" xfId="0" applyNumberFormat="1" applyFont="1" applyFill="1" applyBorder="1" applyAlignment="1" applyProtection="1">
      <alignment horizontal="center" vertical="center"/>
      <protection locked="0"/>
    </xf>
    <xf numFmtId="0" fontId="7" fillId="5" borderId="21" xfId="0" applyFont="1" applyFill="1" applyBorder="1" applyAlignment="1" applyProtection="1">
      <alignment horizontal="center" vertical="center"/>
    </xf>
    <xf numFmtId="0" fontId="7" fillId="5" borderId="14" xfId="0" applyFont="1" applyFill="1" applyBorder="1" applyAlignment="1" applyProtection="1">
      <alignment horizontal="center" vertical="center"/>
    </xf>
    <xf numFmtId="0" fontId="7" fillId="5" borderId="22" xfId="0" applyFont="1" applyFill="1" applyBorder="1" applyAlignment="1" applyProtection="1">
      <alignment horizontal="center" vertical="center"/>
    </xf>
  </cellXfs>
  <cellStyles count="3">
    <cellStyle name="一般" xfId="0" builtinId="0"/>
    <cellStyle name="貨幣" xfId="2" builtinId="4"/>
    <cellStyle name="貨幣 [0]" xfId="1" builtin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7</xdr:col>
      <xdr:colOff>0</xdr:colOff>
      <xdr:row>1</xdr:row>
      <xdr:rowOff>18606</xdr:rowOff>
    </xdr:to>
    <xdr:sp macro="" textlink="">
      <xdr:nvSpPr>
        <xdr:cNvPr id="2" name="角丸四角形 1"/>
        <xdr:cNvSpPr/>
      </xdr:nvSpPr>
      <xdr:spPr>
        <a:xfrm>
          <a:off x="161925" y="0"/>
          <a:ext cx="5800725" cy="618681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0" rIns="91440" bIns="0" anchor="ctr">
          <a:noAutofit/>
        </a:bodyPr>
        <a:lstStyle/>
        <a:p>
          <a:pPr algn="ctr"/>
          <a:r>
            <a:rPr lang="zh-TW" altLang="en-US" sz="2800" b="1" cap="none" spc="50">
              <a:ln w="13500">
                <a:noFill/>
                <a:prstDash val="solid"/>
              </a:ln>
              <a:solidFill>
                <a:schemeClr val="bg2">
                  <a:lumMod val="10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  <a:latin typeface="微軟正黑體" pitchFamily="34" charset="-120"/>
              <a:ea typeface="微軟正黑體" pitchFamily="34" charset="-120"/>
            </a:rPr>
            <a:t>定期定額試算表</a:t>
          </a:r>
          <a:endParaRPr lang="ja-JP" altLang="en-US" sz="2800" b="1" cap="none" spc="50">
            <a:ln w="13500">
              <a:noFill/>
              <a:prstDash val="solid"/>
            </a:ln>
            <a:solidFill>
              <a:schemeClr val="bg2">
                <a:lumMod val="10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  <a:latin typeface="微軟正黑體" pitchFamily="34" charset="-120"/>
            <a:ea typeface="微軟正黑體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キュート">
      <a:dk1>
        <a:sysClr val="windowText" lastClr="000000"/>
      </a:dk1>
      <a:lt1>
        <a:sysClr val="window" lastClr="FFFFFF"/>
      </a:lt1>
      <a:dk2>
        <a:srgbClr val="B13F9A"/>
      </a:dk2>
      <a:lt2>
        <a:srgbClr val="F4E7ED"/>
      </a:lt2>
      <a:accent1>
        <a:srgbClr val="B83D68"/>
      </a:accent1>
      <a:accent2>
        <a:srgbClr val="AC66BB"/>
      </a:accent2>
      <a:accent3>
        <a:srgbClr val="DE6C36"/>
      </a:accent3>
      <a:accent4>
        <a:srgbClr val="F9B639"/>
      </a:accent4>
      <a:accent5>
        <a:srgbClr val="CF6DA4"/>
      </a:accent5>
      <a:accent6>
        <a:srgbClr val="FA8D3D"/>
      </a:accent6>
      <a:hlink>
        <a:srgbClr val="FFDE66"/>
      </a:hlink>
      <a:folHlink>
        <a:srgbClr val="D490C5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pageSetUpPr fitToPage="1"/>
  </sheetPr>
  <dimension ref="B1:R250"/>
  <sheetViews>
    <sheetView tabSelected="1" workbookViewId="0">
      <pane ySplit="9" topLeftCell="A10" activePane="bottomLeft" state="frozen"/>
      <selection pane="bottomLeft" activeCell="O5" sqref="O5"/>
    </sheetView>
  </sheetViews>
  <sheetFormatPr defaultColWidth="9" defaultRowHeight="15" x14ac:dyDescent="0.25"/>
  <cols>
    <col min="1" max="1" width="2.42578125" style="1" customWidth="1"/>
    <col min="2" max="2" width="8" style="1" bestFit="1" customWidth="1"/>
    <col min="3" max="4" width="10" style="1" customWidth="1"/>
    <col min="5" max="5" width="19.7109375" style="1" customWidth="1"/>
    <col min="6" max="6" width="21.140625" style="1" customWidth="1"/>
    <col min="7" max="7" width="18.140625" style="1" customWidth="1"/>
    <col min="8" max="8" width="2.42578125" style="10" customWidth="1"/>
    <col min="9" max="9" width="13" style="1" customWidth="1"/>
    <col min="10" max="16384" width="9" style="1"/>
  </cols>
  <sheetData>
    <row r="1" spans="2:9" ht="47.25" customHeight="1" x14ac:dyDescent="0.25"/>
    <row r="2" spans="2:9" ht="9.75" customHeight="1" thickBot="1" x14ac:dyDescent="0.3"/>
    <row r="3" spans="2:9" ht="17.100000000000001" customHeight="1" thickTop="1" x14ac:dyDescent="0.25">
      <c r="B3" s="49" t="s">
        <v>2</v>
      </c>
      <c r="C3" s="50"/>
      <c r="D3" s="50"/>
      <c r="E3" s="45"/>
      <c r="F3" s="58" t="s">
        <v>14</v>
      </c>
      <c r="G3" s="60"/>
    </row>
    <row r="4" spans="2:9" ht="17.100000000000001" customHeight="1" x14ac:dyDescent="0.25">
      <c r="B4" s="51" t="s">
        <v>7</v>
      </c>
      <c r="C4" s="52"/>
      <c r="D4" s="52"/>
      <c r="E4" s="46"/>
      <c r="F4" s="59"/>
      <c r="G4" s="61"/>
      <c r="H4" s="11"/>
      <c r="I4" s="2"/>
    </row>
    <row r="5" spans="2:9" ht="17.100000000000001" customHeight="1" x14ac:dyDescent="0.25">
      <c r="B5" s="51" t="s">
        <v>8</v>
      </c>
      <c r="C5" s="52"/>
      <c r="D5" s="52"/>
      <c r="E5" s="47"/>
      <c r="F5" s="43" t="s">
        <v>3</v>
      </c>
      <c r="G5" s="41" t="str">
        <f>IF(COUNTA(E4:E5)=2,E6*12,"")</f>
        <v/>
      </c>
    </row>
    <row r="6" spans="2:9" ht="17.100000000000001" customHeight="1" thickBot="1" x14ac:dyDescent="0.3">
      <c r="B6" s="53" t="s">
        <v>9</v>
      </c>
      <c r="C6" s="54"/>
      <c r="D6" s="54"/>
      <c r="E6" s="48"/>
      <c r="F6" s="44" t="s">
        <v>6</v>
      </c>
      <c r="G6" s="42" t="str">
        <f>IF(COUNTA(G3)=1,DATE(YEAR(G3),MONTH(G3)+G5,DAY(G3)),"")</f>
        <v/>
      </c>
    </row>
    <row r="7" spans="2:9" ht="7.5" customHeight="1" thickTop="1" thickBot="1" x14ac:dyDescent="0.3"/>
    <row r="8" spans="2:9" ht="18.75" customHeight="1" thickTop="1" x14ac:dyDescent="0.25">
      <c r="B8" s="55" t="s">
        <v>4</v>
      </c>
      <c r="C8" s="57" t="s">
        <v>5</v>
      </c>
      <c r="D8" s="57"/>
      <c r="E8" s="57" t="s">
        <v>12</v>
      </c>
      <c r="F8" s="57" t="s">
        <v>10</v>
      </c>
      <c r="G8" s="63" t="s">
        <v>11</v>
      </c>
    </row>
    <row r="9" spans="2:9" ht="18.75" customHeight="1" thickBot="1" x14ac:dyDescent="0.3">
      <c r="B9" s="56"/>
      <c r="C9" s="40" t="s">
        <v>0</v>
      </c>
      <c r="D9" s="40" t="s">
        <v>1</v>
      </c>
      <c r="E9" s="62"/>
      <c r="F9" s="62"/>
      <c r="G9" s="64"/>
      <c r="H9" s="12" t="s">
        <v>13</v>
      </c>
      <c r="I9" s="9"/>
    </row>
    <row r="10" spans="2:9" x14ac:dyDescent="0.25">
      <c r="B10" s="28" t="str">
        <f>IF(COUNTA($E$4:$E$5)=2,1,"")</f>
        <v/>
      </c>
      <c r="C10" s="29" t="str">
        <f>IF(COUNT(B10)=1,DATE(YEAR($G$3),MONTH($G$3)+1,DAY($G$3)),"")</f>
        <v/>
      </c>
      <c r="D10" s="30" t="str">
        <f>IF(COUNT(B10)=1,DATE(YEAR($G$3),MONTH($G$3)+1,DAY($G$3)),"")</f>
        <v/>
      </c>
      <c r="E10" s="31" t="str">
        <f>IF(COUNT(B10)=1,SUM($H$10:$H10),"")</f>
        <v/>
      </c>
      <c r="F10" s="32" t="str">
        <f>IF(COUNT(B10)=1,E3+E4,"")</f>
        <v/>
      </c>
      <c r="G10" s="33" t="str">
        <f>IF(COUNT(B10)=1,$E$4*B10+H10,"")</f>
        <v/>
      </c>
      <c r="H10" s="13" t="e">
        <f>INT($E$5/12*($E$4*B10+$E$3))</f>
        <v>#VALUE!</v>
      </c>
      <c r="I10" s="8"/>
    </row>
    <row r="11" spans="2:9" x14ac:dyDescent="0.25">
      <c r="B11" s="14" t="str">
        <f t="shared" ref="B11:B74" si="0">IF($G$5&gt;B10,B10+1,"")</f>
        <v/>
      </c>
      <c r="C11" s="4" t="str">
        <f>IF(COUNT(B11)=1,DATE(YEAR(C10),MONTH(C10)+1,DAY(C10)),"")</f>
        <v/>
      </c>
      <c r="D11" s="5" t="str">
        <f>IF(COUNT(B11)=1,DATE(YEAR(D10),MONTH(D10)+1,DAY(D10)),"")</f>
        <v/>
      </c>
      <c r="E11" s="7" t="str">
        <f>IF(COUNT(B11)=1,SUM($H$10:$H11),"")</f>
        <v/>
      </c>
      <c r="F11" s="6" t="str">
        <f>IF(COUNT(B11)=1,B11*$E$4,"")</f>
        <v/>
      </c>
      <c r="G11" s="15" t="str">
        <f>IF(COUNT(B11)=1,$E$4*B11+E11,"")</f>
        <v/>
      </c>
      <c r="H11" s="13" t="e">
        <f t="shared" ref="H11:H74" si="1">INT($E$5/12*($E$4*B11+$E$3))</f>
        <v>#VALUE!</v>
      </c>
      <c r="I11" s="8"/>
    </row>
    <row r="12" spans="2:9" x14ac:dyDescent="0.25">
      <c r="B12" s="14" t="str">
        <f t="shared" si="0"/>
        <v/>
      </c>
      <c r="C12" s="4" t="str">
        <f t="shared" ref="C12:C45" si="2">IF(COUNT(B12)=1,DATE(YEAR(C11),MONTH(C11)+1,DAY(C11)),"")</f>
        <v/>
      </c>
      <c r="D12" s="5" t="str">
        <f t="shared" ref="D12:D45" si="3">IF(COUNT(B12)=1,DATE(YEAR(D11),MONTH(D11)+1,DAY(D11)),"")</f>
        <v/>
      </c>
      <c r="E12" s="7" t="str">
        <f>IF(COUNT(B12)=1,SUM($H$10:$H12),"")</f>
        <v/>
      </c>
      <c r="F12" s="6" t="str">
        <f t="shared" ref="F12:F45" si="4">IF(COUNT(B12)=1,B12*$E$4,"")</f>
        <v/>
      </c>
      <c r="G12" s="15" t="str">
        <f t="shared" ref="G12:G45" si="5">IF(COUNT(B12)=1,$E$4*B12+E12,"")</f>
        <v/>
      </c>
      <c r="H12" s="13" t="e">
        <f t="shared" si="1"/>
        <v>#VALUE!</v>
      </c>
      <c r="I12" s="8"/>
    </row>
    <row r="13" spans="2:9" x14ac:dyDescent="0.25">
      <c r="B13" s="14" t="str">
        <f t="shared" si="0"/>
        <v/>
      </c>
      <c r="C13" s="4" t="str">
        <f t="shared" si="2"/>
        <v/>
      </c>
      <c r="D13" s="5" t="str">
        <f t="shared" si="3"/>
        <v/>
      </c>
      <c r="E13" s="7" t="str">
        <f>IF(COUNT(B13)=1,SUM($H$10:$H13),"")</f>
        <v/>
      </c>
      <c r="F13" s="6" t="str">
        <f t="shared" si="4"/>
        <v/>
      </c>
      <c r="G13" s="15" t="str">
        <f t="shared" si="5"/>
        <v/>
      </c>
      <c r="H13" s="13" t="e">
        <f t="shared" si="1"/>
        <v>#VALUE!</v>
      </c>
      <c r="I13" s="8"/>
    </row>
    <row r="14" spans="2:9" x14ac:dyDescent="0.25">
      <c r="B14" s="14" t="str">
        <f t="shared" si="0"/>
        <v/>
      </c>
      <c r="C14" s="4" t="str">
        <f t="shared" si="2"/>
        <v/>
      </c>
      <c r="D14" s="5" t="str">
        <f t="shared" si="3"/>
        <v/>
      </c>
      <c r="E14" s="7" t="str">
        <f>IF(COUNT(B14)=1,SUM($H$10:$H14),"")</f>
        <v/>
      </c>
      <c r="F14" s="6" t="str">
        <f t="shared" si="4"/>
        <v/>
      </c>
      <c r="G14" s="15" t="str">
        <f t="shared" si="5"/>
        <v/>
      </c>
      <c r="H14" s="13" t="e">
        <f t="shared" si="1"/>
        <v>#VALUE!</v>
      </c>
      <c r="I14" s="8"/>
    </row>
    <row r="15" spans="2:9" x14ac:dyDescent="0.25">
      <c r="B15" s="14" t="str">
        <f t="shared" si="0"/>
        <v/>
      </c>
      <c r="C15" s="4" t="str">
        <f t="shared" si="2"/>
        <v/>
      </c>
      <c r="D15" s="5" t="str">
        <f t="shared" si="3"/>
        <v/>
      </c>
      <c r="E15" s="7" t="str">
        <f>IF(COUNT(B15)=1,SUM($H$10:$H15),"")</f>
        <v/>
      </c>
      <c r="F15" s="6" t="str">
        <f t="shared" si="4"/>
        <v/>
      </c>
      <c r="G15" s="15" t="str">
        <f t="shared" si="5"/>
        <v/>
      </c>
      <c r="H15" s="13" t="e">
        <f t="shared" si="1"/>
        <v>#VALUE!</v>
      </c>
      <c r="I15" s="8"/>
    </row>
    <row r="16" spans="2:9" x14ac:dyDescent="0.25">
      <c r="B16" s="14" t="str">
        <f t="shared" si="0"/>
        <v/>
      </c>
      <c r="C16" s="4" t="str">
        <f t="shared" si="2"/>
        <v/>
      </c>
      <c r="D16" s="5" t="str">
        <f t="shared" si="3"/>
        <v/>
      </c>
      <c r="E16" s="7" t="str">
        <f>IF(COUNT(B16)=1,SUM($H$10:$H16),"")</f>
        <v/>
      </c>
      <c r="F16" s="6" t="str">
        <f t="shared" si="4"/>
        <v/>
      </c>
      <c r="G16" s="15" t="str">
        <f t="shared" si="5"/>
        <v/>
      </c>
      <c r="H16" s="13" t="e">
        <f t="shared" si="1"/>
        <v>#VALUE!</v>
      </c>
      <c r="I16" s="8"/>
    </row>
    <row r="17" spans="2:9" x14ac:dyDescent="0.25">
      <c r="B17" s="14" t="str">
        <f t="shared" si="0"/>
        <v/>
      </c>
      <c r="C17" s="4" t="str">
        <f t="shared" si="2"/>
        <v/>
      </c>
      <c r="D17" s="5" t="str">
        <f t="shared" si="3"/>
        <v/>
      </c>
      <c r="E17" s="7" t="str">
        <f>IF(COUNT(B17)=1,SUM($H$10:$H17),"")</f>
        <v/>
      </c>
      <c r="F17" s="6" t="str">
        <f t="shared" si="4"/>
        <v/>
      </c>
      <c r="G17" s="15" t="str">
        <f t="shared" si="5"/>
        <v/>
      </c>
      <c r="H17" s="13" t="e">
        <f t="shared" si="1"/>
        <v>#VALUE!</v>
      </c>
      <c r="I17" s="8"/>
    </row>
    <row r="18" spans="2:9" x14ac:dyDescent="0.25">
      <c r="B18" s="14" t="str">
        <f t="shared" si="0"/>
        <v/>
      </c>
      <c r="C18" s="4" t="str">
        <f t="shared" si="2"/>
        <v/>
      </c>
      <c r="D18" s="5" t="str">
        <f t="shared" si="3"/>
        <v/>
      </c>
      <c r="E18" s="7" t="str">
        <f>IF(COUNT(B18)=1,SUM($H$10:$H18),"")</f>
        <v/>
      </c>
      <c r="F18" s="6" t="str">
        <f t="shared" si="4"/>
        <v/>
      </c>
      <c r="G18" s="15" t="str">
        <f t="shared" si="5"/>
        <v/>
      </c>
      <c r="H18" s="13" t="e">
        <f t="shared" si="1"/>
        <v>#VALUE!</v>
      </c>
      <c r="I18" s="8"/>
    </row>
    <row r="19" spans="2:9" x14ac:dyDescent="0.25">
      <c r="B19" s="14" t="str">
        <f t="shared" si="0"/>
        <v/>
      </c>
      <c r="C19" s="4" t="str">
        <f t="shared" si="2"/>
        <v/>
      </c>
      <c r="D19" s="5" t="str">
        <f t="shared" si="3"/>
        <v/>
      </c>
      <c r="E19" s="7" t="str">
        <f>IF(COUNT(B19)=1,SUM($H$10:$H19),"")</f>
        <v/>
      </c>
      <c r="F19" s="6" t="str">
        <f t="shared" si="4"/>
        <v/>
      </c>
      <c r="G19" s="15" t="str">
        <f t="shared" si="5"/>
        <v/>
      </c>
      <c r="H19" s="13" t="e">
        <f t="shared" si="1"/>
        <v>#VALUE!</v>
      </c>
      <c r="I19" s="8"/>
    </row>
    <row r="20" spans="2:9" x14ac:dyDescent="0.25">
      <c r="B20" s="14" t="str">
        <f t="shared" si="0"/>
        <v/>
      </c>
      <c r="C20" s="4" t="str">
        <f t="shared" si="2"/>
        <v/>
      </c>
      <c r="D20" s="5" t="str">
        <f t="shared" si="3"/>
        <v/>
      </c>
      <c r="E20" s="7" t="str">
        <f>IF(COUNT(B20)=1,SUM($H$10:$H20),"")</f>
        <v/>
      </c>
      <c r="F20" s="6" t="str">
        <f t="shared" si="4"/>
        <v/>
      </c>
      <c r="G20" s="15" t="str">
        <f t="shared" si="5"/>
        <v/>
      </c>
      <c r="H20" s="13" t="e">
        <f t="shared" si="1"/>
        <v>#VALUE!</v>
      </c>
      <c r="I20" s="8"/>
    </row>
    <row r="21" spans="2:9" ht="15.75" thickBot="1" x14ac:dyDescent="0.3">
      <c r="B21" s="34" t="str">
        <f t="shared" si="0"/>
        <v/>
      </c>
      <c r="C21" s="35" t="str">
        <f t="shared" si="2"/>
        <v/>
      </c>
      <c r="D21" s="36" t="str">
        <f t="shared" si="3"/>
        <v/>
      </c>
      <c r="E21" s="37" t="str">
        <f>IF(COUNT(B21)=1,SUM($H$10:$H21),"")</f>
        <v/>
      </c>
      <c r="F21" s="38" t="str">
        <f t="shared" si="4"/>
        <v/>
      </c>
      <c r="G21" s="39" t="str">
        <f t="shared" si="5"/>
        <v/>
      </c>
      <c r="H21" s="13" t="e">
        <f t="shared" si="1"/>
        <v>#VALUE!</v>
      </c>
      <c r="I21" s="8"/>
    </row>
    <row r="22" spans="2:9" x14ac:dyDescent="0.25">
      <c r="B22" s="22" t="str">
        <f t="shared" si="0"/>
        <v/>
      </c>
      <c r="C22" s="23" t="str">
        <f t="shared" si="2"/>
        <v/>
      </c>
      <c r="D22" s="24" t="str">
        <f t="shared" si="3"/>
        <v/>
      </c>
      <c r="E22" s="25" t="str">
        <f>IF(COUNT(B22)=1,SUM($H$10:$H22),"")</f>
        <v/>
      </c>
      <c r="F22" s="26" t="str">
        <f t="shared" si="4"/>
        <v/>
      </c>
      <c r="G22" s="27" t="str">
        <f t="shared" si="5"/>
        <v/>
      </c>
      <c r="H22" s="13" t="e">
        <f t="shared" si="1"/>
        <v>#VALUE!</v>
      </c>
      <c r="I22" s="8"/>
    </row>
    <row r="23" spans="2:9" x14ac:dyDescent="0.25">
      <c r="B23" s="14" t="str">
        <f t="shared" si="0"/>
        <v/>
      </c>
      <c r="C23" s="4" t="str">
        <f t="shared" si="2"/>
        <v/>
      </c>
      <c r="D23" s="5" t="str">
        <f t="shared" si="3"/>
        <v/>
      </c>
      <c r="E23" s="7" t="str">
        <f>IF(COUNT(B23)=1,SUM($H$10:$H23),"")</f>
        <v/>
      </c>
      <c r="F23" s="6" t="str">
        <f t="shared" si="4"/>
        <v/>
      </c>
      <c r="G23" s="15" t="str">
        <f t="shared" si="5"/>
        <v/>
      </c>
      <c r="H23" s="13" t="e">
        <f t="shared" si="1"/>
        <v>#VALUE!</v>
      </c>
      <c r="I23" s="8"/>
    </row>
    <row r="24" spans="2:9" x14ac:dyDescent="0.25">
      <c r="B24" s="14" t="str">
        <f t="shared" si="0"/>
        <v/>
      </c>
      <c r="C24" s="4" t="str">
        <f t="shared" si="2"/>
        <v/>
      </c>
      <c r="D24" s="5" t="str">
        <f t="shared" si="3"/>
        <v/>
      </c>
      <c r="E24" s="7" t="str">
        <f>IF(COUNT(B24)=1,SUM($H$10:$H24),"")</f>
        <v/>
      </c>
      <c r="F24" s="6" t="str">
        <f t="shared" si="4"/>
        <v/>
      </c>
      <c r="G24" s="15" t="str">
        <f t="shared" si="5"/>
        <v/>
      </c>
      <c r="H24" s="13" t="e">
        <f t="shared" si="1"/>
        <v>#VALUE!</v>
      </c>
      <c r="I24" s="8"/>
    </row>
    <row r="25" spans="2:9" x14ac:dyDescent="0.25">
      <c r="B25" s="14" t="str">
        <f t="shared" si="0"/>
        <v/>
      </c>
      <c r="C25" s="4" t="str">
        <f t="shared" si="2"/>
        <v/>
      </c>
      <c r="D25" s="5" t="str">
        <f t="shared" si="3"/>
        <v/>
      </c>
      <c r="E25" s="7" t="str">
        <f>IF(COUNT(B25)=1,SUM($H$10:$H25),"")</f>
        <v/>
      </c>
      <c r="F25" s="6" t="str">
        <f t="shared" si="4"/>
        <v/>
      </c>
      <c r="G25" s="15" t="str">
        <f t="shared" si="5"/>
        <v/>
      </c>
      <c r="H25" s="13" t="e">
        <f t="shared" si="1"/>
        <v>#VALUE!</v>
      </c>
      <c r="I25" s="8"/>
    </row>
    <row r="26" spans="2:9" x14ac:dyDescent="0.25">
      <c r="B26" s="14" t="str">
        <f t="shared" si="0"/>
        <v/>
      </c>
      <c r="C26" s="4" t="str">
        <f t="shared" si="2"/>
        <v/>
      </c>
      <c r="D26" s="5" t="str">
        <f t="shared" si="3"/>
        <v/>
      </c>
      <c r="E26" s="7" t="str">
        <f>IF(COUNT(B26)=1,SUM($H$10:$H26),"")</f>
        <v/>
      </c>
      <c r="F26" s="6" t="str">
        <f t="shared" si="4"/>
        <v/>
      </c>
      <c r="G26" s="15" t="str">
        <f t="shared" si="5"/>
        <v/>
      </c>
      <c r="H26" s="13" t="e">
        <f t="shared" si="1"/>
        <v>#VALUE!</v>
      </c>
      <c r="I26" s="8"/>
    </row>
    <row r="27" spans="2:9" x14ac:dyDescent="0.25">
      <c r="B27" s="14" t="str">
        <f t="shared" si="0"/>
        <v/>
      </c>
      <c r="C27" s="4" t="str">
        <f t="shared" si="2"/>
        <v/>
      </c>
      <c r="D27" s="5" t="str">
        <f t="shared" si="3"/>
        <v/>
      </c>
      <c r="E27" s="7" t="str">
        <f>IF(COUNT(B27)=1,SUM($H$10:$H27),"")</f>
        <v/>
      </c>
      <c r="F27" s="6" t="str">
        <f t="shared" si="4"/>
        <v/>
      </c>
      <c r="G27" s="15" t="str">
        <f t="shared" si="5"/>
        <v/>
      </c>
      <c r="H27" s="13" t="e">
        <f t="shared" si="1"/>
        <v>#VALUE!</v>
      </c>
      <c r="I27" s="8"/>
    </row>
    <row r="28" spans="2:9" x14ac:dyDescent="0.25">
      <c r="B28" s="14" t="str">
        <f t="shared" si="0"/>
        <v/>
      </c>
      <c r="C28" s="4" t="str">
        <f t="shared" si="2"/>
        <v/>
      </c>
      <c r="D28" s="5" t="str">
        <f t="shared" si="3"/>
        <v/>
      </c>
      <c r="E28" s="7" t="str">
        <f>IF(COUNT(B28)=1,SUM($H$10:$H28),"")</f>
        <v/>
      </c>
      <c r="F28" s="6" t="str">
        <f t="shared" si="4"/>
        <v/>
      </c>
      <c r="G28" s="15" t="str">
        <f t="shared" si="5"/>
        <v/>
      </c>
      <c r="H28" s="13" t="e">
        <f t="shared" si="1"/>
        <v>#VALUE!</v>
      </c>
      <c r="I28" s="8"/>
    </row>
    <row r="29" spans="2:9" x14ac:dyDescent="0.25">
      <c r="B29" s="14" t="str">
        <f t="shared" si="0"/>
        <v/>
      </c>
      <c r="C29" s="4" t="str">
        <f t="shared" si="2"/>
        <v/>
      </c>
      <c r="D29" s="5" t="str">
        <f t="shared" si="3"/>
        <v/>
      </c>
      <c r="E29" s="7" t="str">
        <f>IF(COUNT(B29)=1,SUM($H$10:$H29),"")</f>
        <v/>
      </c>
      <c r="F29" s="6" t="str">
        <f t="shared" si="4"/>
        <v/>
      </c>
      <c r="G29" s="15" t="str">
        <f t="shared" si="5"/>
        <v/>
      </c>
      <c r="H29" s="13" t="e">
        <f t="shared" si="1"/>
        <v>#VALUE!</v>
      </c>
      <c r="I29" s="8"/>
    </row>
    <row r="30" spans="2:9" x14ac:dyDescent="0.25">
      <c r="B30" s="14" t="str">
        <f t="shared" si="0"/>
        <v/>
      </c>
      <c r="C30" s="4" t="str">
        <f t="shared" si="2"/>
        <v/>
      </c>
      <c r="D30" s="5" t="str">
        <f t="shared" si="3"/>
        <v/>
      </c>
      <c r="E30" s="7" t="str">
        <f>IF(COUNT(B30)=1,SUM($H$10:$H30),"")</f>
        <v/>
      </c>
      <c r="F30" s="6" t="str">
        <f t="shared" si="4"/>
        <v/>
      </c>
      <c r="G30" s="15" t="str">
        <f t="shared" si="5"/>
        <v/>
      </c>
      <c r="H30" s="13" t="e">
        <f t="shared" si="1"/>
        <v>#VALUE!</v>
      </c>
      <c r="I30" s="8"/>
    </row>
    <row r="31" spans="2:9" x14ac:dyDescent="0.25">
      <c r="B31" s="14" t="str">
        <f t="shared" si="0"/>
        <v/>
      </c>
      <c r="C31" s="4" t="str">
        <f t="shared" si="2"/>
        <v/>
      </c>
      <c r="D31" s="5" t="str">
        <f t="shared" si="3"/>
        <v/>
      </c>
      <c r="E31" s="7" t="str">
        <f>IF(COUNT(B31)=1,SUM($H$10:$H31),"")</f>
        <v/>
      </c>
      <c r="F31" s="6" t="str">
        <f t="shared" si="4"/>
        <v/>
      </c>
      <c r="G31" s="15" t="str">
        <f t="shared" si="5"/>
        <v/>
      </c>
      <c r="H31" s="13" t="e">
        <f t="shared" si="1"/>
        <v>#VALUE!</v>
      </c>
      <c r="I31" s="8"/>
    </row>
    <row r="32" spans="2:9" x14ac:dyDescent="0.25">
      <c r="B32" s="14" t="str">
        <f t="shared" si="0"/>
        <v/>
      </c>
      <c r="C32" s="4" t="str">
        <f t="shared" si="2"/>
        <v/>
      </c>
      <c r="D32" s="5" t="str">
        <f t="shared" si="3"/>
        <v/>
      </c>
      <c r="E32" s="7" t="str">
        <f>IF(COUNT(B32)=1,SUM($H$10:$H32),"")</f>
        <v/>
      </c>
      <c r="F32" s="6" t="str">
        <f t="shared" si="4"/>
        <v/>
      </c>
      <c r="G32" s="15" t="str">
        <f t="shared" si="5"/>
        <v/>
      </c>
      <c r="H32" s="13" t="e">
        <f t="shared" si="1"/>
        <v>#VALUE!</v>
      </c>
      <c r="I32" s="8"/>
    </row>
    <row r="33" spans="2:9" ht="15.75" thickBot="1" x14ac:dyDescent="0.3">
      <c r="B33" s="34" t="str">
        <f t="shared" si="0"/>
        <v/>
      </c>
      <c r="C33" s="35" t="str">
        <f t="shared" si="2"/>
        <v/>
      </c>
      <c r="D33" s="36" t="str">
        <f t="shared" si="3"/>
        <v/>
      </c>
      <c r="E33" s="37" t="str">
        <f>IF(COUNT(B33)=1,SUM($H$10:$H33),"")</f>
        <v/>
      </c>
      <c r="F33" s="38" t="str">
        <f t="shared" si="4"/>
        <v/>
      </c>
      <c r="G33" s="39" t="str">
        <f t="shared" si="5"/>
        <v/>
      </c>
      <c r="H33" s="13" t="e">
        <f t="shared" si="1"/>
        <v>#VALUE!</v>
      </c>
      <c r="I33" s="8"/>
    </row>
    <row r="34" spans="2:9" x14ac:dyDescent="0.25">
      <c r="B34" s="14" t="str">
        <f t="shared" si="0"/>
        <v/>
      </c>
      <c r="C34" s="23" t="str">
        <f t="shared" si="2"/>
        <v/>
      </c>
      <c r="D34" s="24" t="str">
        <f t="shared" si="3"/>
        <v/>
      </c>
      <c r="E34" s="25" t="str">
        <f>IF(COUNT(B34)=1,SUM($H$10:$H34),"")</f>
        <v/>
      </c>
      <c r="F34" s="26" t="str">
        <f t="shared" si="4"/>
        <v/>
      </c>
      <c r="G34" s="27" t="str">
        <f t="shared" si="5"/>
        <v/>
      </c>
      <c r="H34" s="13" t="e">
        <f t="shared" si="1"/>
        <v>#VALUE!</v>
      </c>
      <c r="I34" s="8"/>
    </row>
    <row r="35" spans="2:9" x14ac:dyDescent="0.25">
      <c r="B35" s="14" t="str">
        <f t="shared" si="0"/>
        <v/>
      </c>
      <c r="C35" s="4" t="str">
        <f t="shared" si="2"/>
        <v/>
      </c>
      <c r="D35" s="5" t="str">
        <f t="shared" si="3"/>
        <v/>
      </c>
      <c r="E35" s="7" t="str">
        <f>IF(COUNT(B35)=1,SUM($H$10:$H35),"")</f>
        <v/>
      </c>
      <c r="F35" s="6" t="str">
        <f t="shared" si="4"/>
        <v/>
      </c>
      <c r="G35" s="15" t="str">
        <f t="shared" si="5"/>
        <v/>
      </c>
      <c r="H35" s="13" t="e">
        <f t="shared" si="1"/>
        <v>#VALUE!</v>
      </c>
      <c r="I35" s="8"/>
    </row>
    <row r="36" spans="2:9" x14ac:dyDescent="0.25">
      <c r="B36" s="14" t="str">
        <f t="shared" si="0"/>
        <v/>
      </c>
      <c r="C36" s="4" t="str">
        <f t="shared" si="2"/>
        <v/>
      </c>
      <c r="D36" s="5" t="str">
        <f t="shared" si="3"/>
        <v/>
      </c>
      <c r="E36" s="7" t="str">
        <f>IF(COUNT(B36)=1,SUM($H$10:$H36),"")</f>
        <v/>
      </c>
      <c r="F36" s="6" t="str">
        <f t="shared" si="4"/>
        <v/>
      </c>
      <c r="G36" s="15" t="str">
        <f t="shared" si="5"/>
        <v/>
      </c>
      <c r="H36" s="13" t="e">
        <f t="shared" si="1"/>
        <v>#VALUE!</v>
      </c>
      <c r="I36" s="8"/>
    </row>
    <row r="37" spans="2:9" x14ac:dyDescent="0.25">
      <c r="B37" s="14" t="str">
        <f t="shared" si="0"/>
        <v/>
      </c>
      <c r="C37" s="4" t="str">
        <f t="shared" si="2"/>
        <v/>
      </c>
      <c r="D37" s="5" t="str">
        <f t="shared" si="3"/>
        <v/>
      </c>
      <c r="E37" s="7" t="str">
        <f>IF(COUNT(B37)=1,SUM($H$10:$H37),"")</f>
        <v/>
      </c>
      <c r="F37" s="6" t="str">
        <f t="shared" si="4"/>
        <v/>
      </c>
      <c r="G37" s="15" t="str">
        <f t="shared" si="5"/>
        <v/>
      </c>
      <c r="H37" s="13" t="e">
        <f t="shared" si="1"/>
        <v>#VALUE!</v>
      </c>
      <c r="I37" s="8"/>
    </row>
    <row r="38" spans="2:9" x14ac:dyDescent="0.25">
      <c r="B38" s="14" t="str">
        <f t="shared" si="0"/>
        <v/>
      </c>
      <c r="C38" s="4" t="str">
        <f t="shared" si="2"/>
        <v/>
      </c>
      <c r="D38" s="5" t="str">
        <f t="shared" si="3"/>
        <v/>
      </c>
      <c r="E38" s="7" t="str">
        <f>IF(COUNT(B38)=1,SUM($H$10:$H38),"")</f>
        <v/>
      </c>
      <c r="F38" s="6" t="str">
        <f t="shared" si="4"/>
        <v/>
      </c>
      <c r="G38" s="15" t="str">
        <f t="shared" si="5"/>
        <v/>
      </c>
      <c r="H38" s="13" t="e">
        <f t="shared" si="1"/>
        <v>#VALUE!</v>
      </c>
      <c r="I38" s="8"/>
    </row>
    <row r="39" spans="2:9" x14ac:dyDescent="0.25">
      <c r="B39" s="14" t="str">
        <f t="shared" si="0"/>
        <v/>
      </c>
      <c r="C39" s="4" t="str">
        <f t="shared" si="2"/>
        <v/>
      </c>
      <c r="D39" s="5" t="str">
        <f t="shared" si="3"/>
        <v/>
      </c>
      <c r="E39" s="7" t="str">
        <f>IF(COUNT(B39)=1,SUM($H$10:$H39),"")</f>
        <v/>
      </c>
      <c r="F39" s="6" t="str">
        <f t="shared" si="4"/>
        <v/>
      </c>
      <c r="G39" s="15" t="str">
        <f t="shared" si="5"/>
        <v/>
      </c>
      <c r="H39" s="13" t="e">
        <f t="shared" si="1"/>
        <v>#VALUE!</v>
      </c>
      <c r="I39" s="8"/>
    </row>
    <row r="40" spans="2:9" x14ac:dyDescent="0.25">
      <c r="B40" s="14" t="str">
        <f t="shared" si="0"/>
        <v/>
      </c>
      <c r="C40" s="4" t="str">
        <f t="shared" si="2"/>
        <v/>
      </c>
      <c r="D40" s="5" t="str">
        <f t="shared" si="3"/>
        <v/>
      </c>
      <c r="E40" s="7" t="str">
        <f>IF(COUNT(B40)=1,SUM($H$10:$H40),"")</f>
        <v/>
      </c>
      <c r="F40" s="6" t="str">
        <f t="shared" si="4"/>
        <v/>
      </c>
      <c r="G40" s="15" t="str">
        <f t="shared" si="5"/>
        <v/>
      </c>
      <c r="H40" s="13" t="e">
        <f t="shared" si="1"/>
        <v>#VALUE!</v>
      </c>
      <c r="I40" s="8"/>
    </row>
    <row r="41" spans="2:9" x14ac:dyDescent="0.25">
      <c r="B41" s="14" t="str">
        <f t="shared" si="0"/>
        <v/>
      </c>
      <c r="C41" s="4" t="str">
        <f t="shared" si="2"/>
        <v/>
      </c>
      <c r="D41" s="5" t="str">
        <f t="shared" si="3"/>
        <v/>
      </c>
      <c r="E41" s="7" t="str">
        <f>IF(COUNT(B41)=1,SUM($H$10:$H41),"")</f>
        <v/>
      </c>
      <c r="F41" s="6" t="str">
        <f t="shared" si="4"/>
        <v/>
      </c>
      <c r="G41" s="15" t="str">
        <f t="shared" si="5"/>
        <v/>
      </c>
      <c r="H41" s="13" t="e">
        <f t="shared" si="1"/>
        <v>#VALUE!</v>
      </c>
      <c r="I41" s="8"/>
    </row>
    <row r="42" spans="2:9" x14ac:dyDescent="0.25">
      <c r="B42" s="14" t="str">
        <f t="shared" si="0"/>
        <v/>
      </c>
      <c r="C42" s="4" t="str">
        <f t="shared" si="2"/>
        <v/>
      </c>
      <c r="D42" s="5" t="str">
        <f t="shared" si="3"/>
        <v/>
      </c>
      <c r="E42" s="7" t="str">
        <f>IF(COUNT(B42)=1,SUM($H$10:$H42),"")</f>
        <v/>
      </c>
      <c r="F42" s="6" t="str">
        <f t="shared" si="4"/>
        <v/>
      </c>
      <c r="G42" s="15" t="str">
        <f t="shared" si="5"/>
        <v/>
      </c>
      <c r="H42" s="13" t="e">
        <f t="shared" si="1"/>
        <v>#VALUE!</v>
      </c>
      <c r="I42" s="8"/>
    </row>
    <row r="43" spans="2:9" x14ac:dyDescent="0.25">
      <c r="B43" s="14" t="str">
        <f t="shared" si="0"/>
        <v/>
      </c>
      <c r="C43" s="4" t="str">
        <f t="shared" si="2"/>
        <v/>
      </c>
      <c r="D43" s="5" t="str">
        <f t="shared" si="3"/>
        <v/>
      </c>
      <c r="E43" s="7" t="str">
        <f>IF(COUNT(B43)=1,SUM($H$10:$H43),"")</f>
        <v/>
      </c>
      <c r="F43" s="6" t="str">
        <f t="shared" si="4"/>
        <v/>
      </c>
      <c r="G43" s="15" t="str">
        <f t="shared" si="5"/>
        <v/>
      </c>
      <c r="H43" s="13" t="e">
        <f t="shared" si="1"/>
        <v>#VALUE!</v>
      </c>
      <c r="I43" s="8"/>
    </row>
    <row r="44" spans="2:9" x14ac:dyDescent="0.25">
      <c r="B44" s="14" t="str">
        <f t="shared" si="0"/>
        <v/>
      </c>
      <c r="C44" s="4" t="str">
        <f t="shared" si="2"/>
        <v/>
      </c>
      <c r="D44" s="5" t="str">
        <f t="shared" si="3"/>
        <v/>
      </c>
      <c r="E44" s="7" t="str">
        <f>IF(COUNT(B44)=1,SUM($H$10:$H44),"")</f>
        <v/>
      </c>
      <c r="F44" s="6" t="str">
        <f t="shared" si="4"/>
        <v/>
      </c>
      <c r="G44" s="15" t="str">
        <f t="shared" si="5"/>
        <v/>
      </c>
      <c r="H44" s="13" t="e">
        <f t="shared" si="1"/>
        <v>#VALUE!</v>
      </c>
      <c r="I44" s="8"/>
    </row>
    <row r="45" spans="2:9" ht="15.75" thickBot="1" x14ac:dyDescent="0.3">
      <c r="B45" s="34" t="str">
        <f t="shared" si="0"/>
        <v/>
      </c>
      <c r="C45" s="35" t="str">
        <f t="shared" si="2"/>
        <v/>
      </c>
      <c r="D45" s="36" t="str">
        <f t="shared" si="3"/>
        <v/>
      </c>
      <c r="E45" s="37" t="str">
        <f>IF(COUNT(B45)=1,SUM($H$10:$H45),"")</f>
        <v/>
      </c>
      <c r="F45" s="38" t="str">
        <f t="shared" si="4"/>
        <v/>
      </c>
      <c r="G45" s="39" t="str">
        <f t="shared" si="5"/>
        <v/>
      </c>
      <c r="H45" s="13" t="e">
        <f t="shared" si="1"/>
        <v>#VALUE!</v>
      </c>
      <c r="I45" s="8"/>
    </row>
    <row r="46" spans="2:9" x14ac:dyDescent="0.25">
      <c r="B46" s="22" t="str">
        <f t="shared" si="0"/>
        <v/>
      </c>
      <c r="C46" s="23" t="str">
        <f t="shared" ref="C46:C109" si="6">IF(COUNT(B46)=1,DATE(YEAR(C45),MONTH(C45)+1,DAY(C45)),"")</f>
        <v/>
      </c>
      <c r="D46" s="24" t="str">
        <f t="shared" ref="D46:D109" si="7">IF(COUNT(B46)=1,DATE(YEAR(D45),MONTH(D45)+1,DAY(D45)),"")</f>
        <v/>
      </c>
      <c r="E46" s="25" t="str">
        <f>IF(COUNT(B46)=1,SUM($H$10:$H46),"")</f>
        <v/>
      </c>
      <c r="F46" s="26" t="str">
        <f t="shared" ref="F46:F109" si="8">IF(COUNT(B46)=1,B46*$E$4,"")</f>
        <v/>
      </c>
      <c r="G46" s="27" t="str">
        <f t="shared" ref="G46:G109" si="9">IF(COUNT(B46)=1,$E$4*B46+E46,"")</f>
        <v/>
      </c>
      <c r="H46" s="13" t="e">
        <f t="shared" si="1"/>
        <v>#VALUE!</v>
      </c>
      <c r="I46" s="8"/>
    </row>
    <row r="47" spans="2:9" x14ac:dyDescent="0.25">
      <c r="B47" s="14" t="str">
        <f t="shared" si="0"/>
        <v/>
      </c>
      <c r="C47" s="4" t="str">
        <f t="shared" si="6"/>
        <v/>
      </c>
      <c r="D47" s="5" t="str">
        <f t="shared" si="7"/>
        <v/>
      </c>
      <c r="E47" s="7" t="str">
        <f>IF(COUNT(B47)=1,SUM($H$10:$H47),"")</f>
        <v/>
      </c>
      <c r="F47" s="6" t="str">
        <f t="shared" si="8"/>
        <v/>
      </c>
      <c r="G47" s="15" t="str">
        <f t="shared" si="9"/>
        <v/>
      </c>
      <c r="H47" s="13" t="e">
        <f t="shared" si="1"/>
        <v>#VALUE!</v>
      </c>
      <c r="I47" s="8"/>
    </row>
    <row r="48" spans="2:9" x14ac:dyDescent="0.25">
      <c r="B48" s="14" t="str">
        <f t="shared" si="0"/>
        <v/>
      </c>
      <c r="C48" s="4" t="str">
        <f t="shared" si="6"/>
        <v/>
      </c>
      <c r="D48" s="5" t="str">
        <f t="shared" si="7"/>
        <v/>
      </c>
      <c r="E48" s="7" t="str">
        <f>IF(COUNT(B48)=1,SUM($H$10:$H48),"")</f>
        <v/>
      </c>
      <c r="F48" s="6" t="str">
        <f t="shared" si="8"/>
        <v/>
      </c>
      <c r="G48" s="15" t="str">
        <f t="shared" si="9"/>
        <v/>
      </c>
      <c r="H48" s="13" t="e">
        <f t="shared" si="1"/>
        <v>#VALUE!</v>
      </c>
      <c r="I48" s="8"/>
    </row>
    <row r="49" spans="2:9" x14ac:dyDescent="0.25">
      <c r="B49" s="14" t="str">
        <f t="shared" si="0"/>
        <v/>
      </c>
      <c r="C49" s="4" t="str">
        <f t="shared" si="6"/>
        <v/>
      </c>
      <c r="D49" s="5" t="str">
        <f t="shared" si="7"/>
        <v/>
      </c>
      <c r="E49" s="7" t="str">
        <f>IF(COUNT(B49)=1,SUM($H$10:$H49),"")</f>
        <v/>
      </c>
      <c r="F49" s="6" t="str">
        <f t="shared" si="8"/>
        <v/>
      </c>
      <c r="G49" s="15" t="str">
        <f t="shared" si="9"/>
        <v/>
      </c>
      <c r="H49" s="13" t="e">
        <f t="shared" si="1"/>
        <v>#VALUE!</v>
      </c>
      <c r="I49" s="8"/>
    </row>
    <row r="50" spans="2:9" x14ac:dyDescent="0.25">
      <c r="B50" s="14" t="str">
        <f t="shared" si="0"/>
        <v/>
      </c>
      <c r="C50" s="4" t="str">
        <f t="shared" si="6"/>
        <v/>
      </c>
      <c r="D50" s="5" t="str">
        <f t="shared" si="7"/>
        <v/>
      </c>
      <c r="E50" s="7" t="str">
        <f>IF(COUNT(B50)=1,SUM($H$10:$H50),"")</f>
        <v/>
      </c>
      <c r="F50" s="6" t="str">
        <f t="shared" si="8"/>
        <v/>
      </c>
      <c r="G50" s="15" t="str">
        <f t="shared" si="9"/>
        <v/>
      </c>
      <c r="H50" s="13" t="e">
        <f t="shared" si="1"/>
        <v>#VALUE!</v>
      </c>
      <c r="I50" s="8"/>
    </row>
    <row r="51" spans="2:9" x14ac:dyDescent="0.25">
      <c r="B51" s="14" t="str">
        <f t="shared" si="0"/>
        <v/>
      </c>
      <c r="C51" s="4" t="str">
        <f t="shared" si="6"/>
        <v/>
      </c>
      <c r="D51" s="5" t="str">
        <f t="shared" si="7"/>
        <v/>
      </c>
      <c r="E51" s="7" t="str">
        <f>IF(COUNT(B51)=1,SUM($H$10:$H51),"")</f>
        <v/>
      </c>
      <c r="F51" s="6" t="str">
        <f t="shared" si="8"/>
        <v/>
      </c>
      <c r="G51" s="15" t="str">
        <f t="shared" si="9"/>
        <v/>
      </c>
      <c r="H51" s="13" t="e">
        <f t="shared" si="1"/>
        <v>#VALUE!</v>
      </c>
      <c r="I51" s="8"/>
    </row>
    <row r="52" spans="2:9" x14ac:dyDescent="0.25">
      <c r="B52" s="14" t="str">
        <f t="shared" si="0"/>
        <v/>
      </c>
      <c r="C52" s="4" t="str">
        <f t="shared" si="6"/>
        <v/>
      </c>
      <c r="D52" s="5" t="str">
        <f t="shared" si="7"/>
        <v/>
      </c>
      <c r="E52" s="7" t="str">
        <f>IF(COUNT(B52)=1,SUM($H$10:$H52),"")</f>
        <v/>
      </c>
      <c r="F52" s="6" t="str">
        <f t="shared" si="8"/>
        <v/>
      </c>
      <c r="G52" s="15" t="str">
        <f t="shared" si="9"/>
        <v/>
      </c>
      <c r="H52" s="13" t="e">
        <f t="shared" si="1"/>
        <v>#VALUE!</v>
      </c>
      <c r="I52" s="8"/>
    </row>
    <row r="53" spans="2:9" x14ac:dyDescent="0.25">
      <c r="B53" s="14" t="str">
        <f t="shared" si="0"/>
        <v/>
      </c>
      <c r="C53" s="4" t="str">
        <f t="shared" si="6"/>
        <v/>
      </c>
      <c r="D53" s="5" t="str">
        <f t="shared" si="7"/>
        <v/>
      </c>
      <c r="E53" s="7" t="str">
        <f>IF(COUNT(B53)=1,SUM($H$10:$H53),"")</f>
        <v/>
      </c>
      <c r="F53" s="6" t="str">
        <f t="shared" si="8"/>
        <v/>
      </c>
      <c r="G53" s="15" t="str">
        <f t="shared" si="9"/>
        <v/>
      </c>
      <c r="H53" s="13" t="e">
        <f t="shared" si="1"/>
        <v>#VALUE!</v>
      </c>
      <c r="I53" s="8"/>
    </row>
    <row r="54" spans="2:9" x14ac:dyDescent="0.25">
      <c r="B54" s="14" t="str">
        <f t="shared" si="0"/>
        <v/>
      </c>
      <c r="C54" s="4" t="str">
        <f t="shared" si="6"/>
        <v/>
      </c>
      <c r="D54" s="5" t="str">
        <f t="shared" si="7"/>
        <v/>
      </c>
      <c r="E54" s="7" t="str">
        <f>IF(COUNT(B54)=1,SUM($H$10:$H54),"")</f>
        <v/>
      </c>
      <c r="F54" s="6" t="str">
        <f t="shared" si="8"/>
        <v/>
      </c>
      <c r="G54" s="15" t="str">
        <f t="shared" si="9"/>
        <v/>
      </c>
      <c r="H54" s="13" t="e">
        <f t="shared" si="1"/>
        <v>#VALUE!</v>
      </c>
      <c r="I54" s="8"/>
    </row>
    <row r="55" spans="2:9" x14ac:dyDescent="0.25">
      <c r="B55" s="14" t="str">
        <f t="shared" si="0"/>
        <v/>
      </c>
      <c r="C55" s="4" t="str">
        <f t="shared" si="6"/>
        <v/>
      </c>
      <c r="D55" s="5" t="str">
        <f t="shared" si="7"/>
        <v/>
      </c>
      <c r="E55" s="7" t="str">
        <f>IF(COUNT(B55)=1,SUM($H$10:$H55),"")</f>
        <v/>
      </c>
      <c r="F55" s="6" t="str">
        <f t="shared" si="8"/>
        <v/>
      </c>
      <c r="G55" s="15" t="str">
        <f t="shared" si="9"/>
        <v/>
      </c>
      <c r="H55" s="13" t="e">
        <f t="shared" si="1"/>
        <v>#VALUE!</v>
      </c>
      <c r="I55" s="8"/>
    </row>
    <row r="56" spans="2:9" x14ac:dyDescent="0.25">
      <c r="B56" s="14" t="str">
        <f t="shared" si="0"/>
        <v/>
      </c>
      <c r="C56" s="4" t="str">
        <f t="shared" si="6"/>
        <v/>
      </c>
      <c r="D56" s="5" t="str">
        <f t="shared" si="7"/>
        <v/>
      </c>
      <c r="E56" s="7" t="str">
        <f>IF(COUNT(B56)=1,SUM($H$10:$H56),"")</f>
        <v/>
      </c>
      <c r="F56" s="6" t="str">
        <f t="shared" si="8"/>
        <v/>
      </c>
      <c r="G56" s="15" t="str">
        <f t="shared" si="9"/>
        <v/>
      </c>
      <c r="H56" s="13" t="e">
        <f t="shared" si="1"/>
        <v>#VALUE!</v>
      </c>
      <c r="I56" s="8"/>
    </row>
    <row r="57" spans="2:9" ht="15.75" thickBot="1" x14ac:dyDescent="0.3">
      <c r="B57" s="34" t="str">
        <f t="shared" si="0"/>
        <v/>
      </c>
      <c r="C57" s="35" t="str">
        <f t="shared" si="6"/>
        <v/>
      </c>
      <c r="D57" s="36" t="str">
        <f t="shared" si="7"/>
        <v/>
      </c>
      <c r="E57" s="37" t="str">
        <f>IF(COUNT(B57)=1,SUM($H$10:$H57),"")</f>
        <v/>
      </c>
      <c r="F57" s="38" t="str">
        <f t="shared" si="8"/>
        <v/>
      </c>
      <c r="G57" s="39" t="str">
        <f t="shared" si="9"/>
        <v/>
      </c>
      <c r="H57" s="13" t="e">
        <f t="shared" si="1"/>
        <v>#VALUE!</v>
      </c>
      <c r="I57" s="8"/>
    </row>
    <row r="58" spans="2:9" x14ac:dyDescent="0.25">
      <c r="B58" s="14" t="str">
        <f t="shared" si="0"/>
        <v/>
      </c>
      <c r="C58" s="23" t="str">
        <f t="shared" si="6"/>
        <v/>
      </c>
      <c r="D58" s="24" t="str">
        <f t="shared" si="7"/>
        <v/>
      </c>
      <c r="E58" s="25" t="str">
        <f>IF(COUNT(B58)=1,SUM($H$10:$H58),"")</f>
        <v/>
      </c>
      <c r="F58" s="26" t="str">
        <f t="shared" si="8"/>
        <v/>
      </c>
      <c r="G58" s="27" t="str">
        <f t="shared" si="9"/>
        <v/>
      </c>
      <c r="H58" s="13" t="e">
        <f t="shared" si="1"/>
        <v>#VALUE!</v>
      </c>
      <c r="I58" s="8"/>
    </row>
    <row r="59" spans="2:9" x14ac:dyDescent="0.25">
      <c r="B59" s="14" t="str">
        <f t="shared" si="0"/>
        <v/>
      </c>
      <c r="C59" s="4" t="str">
        <f t="shared" si="6"/>
        <v/>
      </c>
      <c r="D59" s="5" t="str">
        <f t="shared" si="7"/>
        <v/>
      </c>
      <c r="E59" s="7" t="str">
        <f>IF(COUNT(B59)=1,SUM($H$10:$H59),"")</f>
        <v/>
      </c>
      <c r="F59" s="6" t="str">
        <f t="shared" si="8"/>
        <v/>
      </c>
      <c r="G59" s="15" t="str">
        <f t="shared" si="9"/>
        <v/>
      </c>
      <c r="H59" s="13" t="e">
        <f t="shared" si="1"/>
        <v>#VALUE!</v>
      </c>
      <c r="I59" s="8"/>
    </row>
    <row r="60" spans="2:9" x14ac:dyDescent="0.25">
      <c r="B60" s="14" t="str">
        <f t="shared" si="0"/>
        <v/>
      </c>
      <c r="C60" s="4" t="str">
        <f t="shared" si="6"/>
        <v/>
      </c>
      <c r="D60" s="5" t="str">
        <f t="shared" si="7"/>
        <v/>
      </c>
      <c r="E60" s="7" t="str">
        <f>IF(COUNT(B60)=1,SUM($H$10:$H60),"")</f>
        <v/>
      </c>
      <c r="F60" s="6" t="str">
        <f t="shared" si="8"/>
        <v/>
      </c>
      <c r="G60" s="15" t="str">
        <f t="shared" si="9"/>
        <v/>
      </c>
      <c r="H60" s="13" t="e">
        <f t="shared" si="1"/>
        <v>#VALUE!</v>
      </c>
      <c r="I60" s="8"/>
    </row>
    <row r="61" spans="2:9" x14ac:dyDescent="0.25">
      <c r="B61" s="14" t="str">
        <f t="shared" si="0"/>
        <v/>
      </c>
      <c r="C61" s="4" t="str">
        <f t="shared" si="6"/>
        <v/>
      </c>
      <c r="D61" s="5" t="str">
        <f t="shared" si="7"/>
        <v/>
      </c>
      <c r="E61" s="7" t="str">
        <f>IF(COUNT(B61)=1,SUM($H$10:$H61),"")</f>
        <v/>
      </c>
      <c r="F61" s="6" t="str">
        <f t="shared" si="8"/>
        <v/>
      </c>
      <c r="G61" s="15" t="str">
        <f t="shared" si="9"/>
        <v/>
      </c>
      <c r="H61" s="13" t="e">
        <f t="shared" si="1"/>
        <v>#VALUE!</v>
      </c>
      <c r="I61" s="8"/>
    </row>
    <row r="62" spans="2:9" x14ac:dyDescent="0.25">
      <c r="B62" s="14" t="str">
        <f t="shared" si="0"/>
        <v/>
      </c>
      <c r="C62" s="4" t="str">
        <f t="shared" si="6"/>
        <v/>
      </c>
      <c r="D62" s="5" t="str">
        <f t="shared" si="7"/>
        <v/>
      </c>
      <c r="E62" s="7" t="str">
        <f>IF(COUNT(B62)=1,SUM($H$10:$H62),"")</f>
        <v/>
      </c>
      <c r="F62" s="6" t="str">
        <f t="shared" si="8"/>
        <v/>
      </c>
      <c r="G62" s="15" t="str">
        <f t="shared" si="9"/>
        <v/>
      </c>
      <c r="H62" s="13" t="e">
        <f t="shared" si="1"/>
        <v>#VALUE!</v>
      </c>
      <c r="I62" s="8"/>
    </row>
    <row r="63" spans="2:9" x14ac:dyDescent="0.25">
      <c r="B63" s="14" t="str">
        <f t="shared" si="0"/>
        <v/>
      </c>
      <c r="C63" s="4" t="str">
        <f t="shared" si="6"/>
        <v/>
      </c>
      <c r="D63" s="5" t="str">
        <f t="shared" si="7"/>
        <v/>
      </c>
      <c r="E63" s="7" t="str">
        <f>IF(COUNT(B63)=1,SUM($H$10:$H63),"")</f>
        <v/>
      </c>
      <c r="F63" s="6" t="str">
        <f t="shared" si="8"/>
        <v/>
      </c>
      <c r="G63" s="15" t="str">
        <f t="shared" si="9"/>
        <v/>
      </c>
      <c r="H63" s="13" t="e">
        <f t="shared" si="1"/>
        <v>#VALUE!</v>
      </c>
      <c r="I63" s="8"/>
    </row>
    <row r="64" spans="2:9" x14ac:dyDescent="0.25">
      <c r="B64" s="14" t="str">
        <f t="shared" si="0"/>
        <v/>
      </c>
      <c r="C64" s="4" t="str">
        <f t="shared" si="6"/>
        <v/>
      </c>
      <c r="D64" s="5" t="str">
        <f t="shared" si="7"/>
        <v/>
      </c>
      <c r="E64" s="7" t="str">
        <f>IF(COUNT(B64)=1,SUM($H$10:$H64),"")</f>
        <v/>
      </c>
      <c r="F64" s="6" t="str">
        <f t="shared" si="8"/>
        <v/>
      </c>
      <c r="G64" s="15" t="str">
        <f t="shared" si="9"/>
        <v/>
      </c>
      <c r="H64" s="13" t="e">
        <f t="shared" si="1"/>
        <v>#VALUE!</v>
      </c>
      <c r="I64" s="8"/>
    </row>
    <row r="65" spans="2:9" x14ac:dyDescent="0.25">
      <c r="B65" s="14" t="str">
        <f t="shared" si="0"/>
        <v/>
      </c>
      <c r="C65" s="4" t="str">
        <f t="shared" si="6"/>
        <v/>
      </c>
      <c r="D65" s="5" t="str">
        <f t="shared" si="7"/>
        <v/>
      </c>
      <c r="E65" s="7" t="str">
        <f>IF(COUNT(B65)=1,SUM($H$10:$H65),"")</f>
        <v/>
      </c>
      <c r="F65" s="6" t="str">
        <f t="shared" si="8"/>
        <v/>
      </c>
      <c r="G65" s="15" t="str">
        <f t="shared" si="9"/>
        <v/>
      </c>
      <c r="H65" s="13" t="e">
        <f t="shared" si="1"/>
        <v>#VALUE!</v>
      </c>
      <c r="I65" s="8"/>
    </row>
    <row r="66" spans="2:9" x14ac:dyDescent="0.25">
      <c r="B66" s="14" t="str">
        <f t="shared" si="0"/>
        <v/>
      </c>
      <c r="C66" s="4" t="str">
        <f t="shared" si="6"/>
        <v/>
      </c>
      <c r="D66" s="5" t="str">
        <f t="shared" si="7"/>
        <v/>
      </c>
      <c r="E66" s="7" t="str">
        <f>IF(COUNT(B66)=1,SUM($H$10:$H66),"")</f>
        <v/>
      </c>
      <c r="F66" s="6" t="str">
        <f t="shared" si="8"/>
        <v/>
      </c>
      <c r="G66" s="15" t="str">
        <f t="shared" si="9"/>
        <v/>
      </c>
      <c r="H66" s="13" t="e">
        <f t="shared" si="1"/>
        <v>#VALUE!</v>
      </c>
      <c r="I66" s="8"/>
    </row>
    <row r="67" spans="2:9" x14ac:dyDescent="0.25">
      <c r="B67" s="14" t="str">
        <f t="shared" si="0"/>
        <v/>
      </c>
      <c r="C67" s="4" t="str">
        <f t="shared" si="6"/>
        <v/>
      </c>
      <c r="D67" s="5" t="str">
        <f t="shared" si="7"/>
        <v/>
      </c>
      <c r="E67" s="7" t="str">
        <f>IF(COUNT(B67)=1,SUM($H$10:$H67),"")</f>
        <v/>
      </c>
      <c r="F67" s="6" t="str">
        <f t="shared" si="8"/>
        <v/>
      </c>
      <c r="G67" s="15" t="str">
        <f t="shared" si="9"/>
        <v/>
      </c>
      <c r="H67" s="13" t="e">
        <f t="shared" si="1"/>
        <v>#VALUE!</v>
      </c>
      <c r="I67" s="8"/>
    </row>
    <row r="68" spans="2:9" x14ac:dyDescent="0.25">
      <c r="B68" s="14" t="str">
        <f t="shared" si="0"/>
        <v/>
      </c>
      <c r="C68" s="4" t="str">
        <f t="shared" si="6"/>
        <v/>
      </c>
      <c r="D68" s="5" t="str">
        <f t="shared" si="7"/>
        <v/>
      </c>
      <c r="E68" s="7" t="str">
        <f>IF(COUNT(B68)=1,SUM($H$10:$H68),"")</f>
        <v/>
      </c>
      <c r="F68" s="6" t="str">
        <f t="shared" si="8"/>
        <v/>
      </c>
      <c r="G68" s="15" t="str">
        <f t="shared" si="9"/>
        <v/>
      </c>
      <c r="H68" s="13" t="e">
        <f t="shared" si="1"/>
        <v>#VALUE!</v>
      </c>
      <c r="I68" s="8"/>
    </row>
    <row r="69" spans="2:9" ht="15.75" thickBot="1" x14ac:dyDescent="0.3">
      <c r="B69" s="34" t="str">
        <f t="shared" si="0"/>
        <v/>
      </c>
      <c r="C69" s="35" t="str">
        <f t="shared" si="6"/>
        <v/>
      </c>
      <c r="D69" s="36" t="str">
        <f t="shared" si="7"/>
        <v/>
      </c>
      <c r="E69" s="37" t="str">
        <f>IF(COUNT(B69)=1,SUM($H$10:$H69),"")</f>
        <v/>
      </c>
      <c r="F69" s="38" t="str">
        <f t="shared" si="8"/>
        <v/>
      </c>
      <c r="G69" s="39" t="str">
        <f t="shared" si="9"/>
        <v/>
      </c>
      <c r="H69" s="13" t="e">
        <f t="shared" si="1"/>
        <v>#VALUE!</v>
      </c>
      <c r="I69" s="8"/>
    </row>
    <row r="70" spans="2:9" x14ac:dyDescent="0.25">
      <c r="B70" s="22" t="str">
        <f t="shared" si="0"/>
        <v/>
      </c>
      <c r="C70" s="23" t="str">
        <f t="shared" si="6"/>
        <v/>
      </c>
      <c r="D70" s="24" t="str">
        <f t="shared" si="7"/>
        <v/>
      </c>
      <c r="E70" s="25" t="str">
        <f>IF(COUNT(B70)=1,SUM($H$10:$H70),"")</f>
        <v/>
      </c>
      <c r="F70" s="26" t="str">
        <f t="shared" si="8"/>
        <v/>
      </c>
      <c r="G70" s="27" t="str">
        <f t="shared" si="9"/>
        <v/>
      </c>
      <c r="H70" s="13" t="e">
        <f t="shared" si="1"/>
        <v>#VALUE!</v>
      </c>
      <c r="I70" s="8"/>
    </row>
    <row r="71" spans="2:9" x14ac:dyDescent="0.25">
      <c r="B71" s="14" t="str">
        <f t="shared" si="0"/>
        <v/>
      </c>
      <c r="C71" s="4" t="str">
        <f t="shared" si="6"/>
        <v/>
      </c>
      <c r="D71" s="5" t="str">
        <f t="shared" si="7"/>
        <v/>
      </c>
      <c r="E71" s="7" t="str">
        <f>IF(COUNT(B71)=1,SUM($H$10:$H71),"")</f>
        <v/>
      </c>
      <c r="F71" s="6" t="str">
        <f t="shared" si="8"/>
        <v/>
      </c>
      <c r="G71" s="15" t="str">
        <f t="shared" si="9"/>
        <v/>
      </c>
      <c r="H71" s="13" t="e">
        <f t="shared" si="1"/>
        <v>#VALUE!</v>
      </c>
      <c r="I71" s="8"/>
    </row>
    <row r="72" spans="2:9" x14ac:dyDescent="0.25">
      <c r="B72" s="14" t="str">
        <f t="shared" si="0"/>
        <v/>
      </c>
      <c r="C72" s="4" t="str">
        <f t="shared" si="6"/>
        <v/>
      </c>
      <c r="D72" s="5" t="str">
        <f t="shared" si="7"/>
        <v/>
      </c>
      <c r="E72" s="7" t="str">
        <f>IF(COUNT(B72)=1,SUM($H$10:$H72),"")</f>
        <v/>
      </c>
      <c r="F72" s="6" t="str">
        <f t="shared" si="8"/>
        <v/>
      </c>
      <c r="G72" s="15" t="str">
        <f t="shared" si="9"/>
        <v/>
      </c>
      <c r="H72" s="13" t="e">
        <f t="shared" si="1"/>
        <v>#VALUE!</v>
      </c>
      <c r="I72" s="8"/>
    </row>
    <row r="73" spans="2:9" x14ac:dyDescent="0.25">
      <c r="B73" s="14" t="str">
        <f t="shared" si="0"/>
        <v/>
      </c>
      <c r="C73" s="4" t="str">
        <f t="shared" si="6"/>
        <v/>
      </c>
      <c r="D73" s="5" t="str">
        <f t="shared" si="7"/>
        <v/>
      </c>
      <c r="E73" s="7" t="str">
        <f>IF(COUNT(B73)=1,SUM($H$10:$H73),"")</f>
        <v/>
      </c>
      <c r="F73" s="6" t="str">
        <f t="shared" si="8"/>
        <v/>
      </c>
      <c r="G73" s="15" t="str">
        <f t="shared" si="9"/>
        <v/>
      </c>
      <c r="H73" s="13" t="e">
        <f t="shared" si="1"/>
        <v>#VALUE!</v>
      </c>
      <c r="I73" s="8"/>
    </row>
    <row r="74" spans="2:9" x14ac:dyDescent="0.25">
      <c r="B74" s="14" t="str">
        <f t="shared" si="0"/>
        <v/>
      </c>
      <c r="C74" s="4" t="str">
        <f t="shared" si="6"/>
        <v/>
      </c>
      <c r="D74" s="5" t="str">
        <f t="shared" si="7"/>
        <v/>
      </c>
      <c r="E74" s="7" t="str">
        <f>IF(COUNT(B74)=1,SUM($H$10:$H74),"")</f>
        <v/>
      </c>
      <c r="F74" s="6" t="str">
        <f t="shared" si="8"/>
        <v/>
      </c>
      <c r="G74" s="15" t="str">
        <f t="shared" si="9"/>
        <v/>
      </c>
      <c r="H74" s="13" t="e">
        <f t="shared" si="1"/>
        <v>#VALUE!</v>
      </c>
      <c r="I74" s="8"/>
    </row>
    <row r="75" spans="2:9" x14ac:dyDescent="0.25">
      <c r="B75" s="14" t="str">
        <f t="shared" ref="B75:B138" si="10">IF($G$5&gt;B74,B74+1,"")</f>
        <v/>
      </c>
      <c r="C75" s="4" t="str">
        <f t="shared" si="6"/>
        <v/>
      </c>
      <c r="D75" s="5" t="str">
        <f t="shared" si="7"/>
        <v/>
      </c>
      <c r="E75" s="7" t="str">
        <f>IF(COUNT(B75)=1,SUM($H$10:$H75),"")</f>
        <v/>
      </c>
      <c r="F75" s="6" t="str">
        <f t="shared" si="8"/>
        <v/>
      </c>
      <c r="G75" s="15" t="str">
        <f t="shared" si="9"/>
        <v/>
      </c>
      <c r="H75" s="13" t="e">
        <f t="shared" ref="H75:H138" si="11">INT($E$5/12*($E$4*B75+$E$3))</f>
        <v>#VALUE!</v>
      </c>
      <c r="I75" s="8"/>
    </row>
    <row r="76" spans="2:9" x14ac:dyDescent="0.25">
      <c r="B76" s="14" t="str">
        <f t="shared" si="10"/>
        <v/>
      </c>
      <c r="C76" s="4" t="str">
        <f t="shared" si="6"/>
        <v/>
      </c>
      <c r="D76" s="5" t="str">
        <f t="shared" si="7"/>
        <v/>
      </c>
      <c r="E76" s="7" t="str">
        <f>IF(COUNT(B76)=1,SUM($H$10:$H76),"")</f>
        <v/>
      </c>
      <c r="F76" s="6" t="str">
        <f t="shared" si="8"/>
        <v/>
      </c>
      <c r="G76" s="15" t="str">
        <f t="shared" si="9"/>
        <v/>
      </c>
      <c r="H76" s="13" t="e">
        <f t="shared" si="11"/>
        <v>#VALUE!</v>
      </c>
      <c r="I76" s="8"/>
    </row>
    <row r="77" spans="2:9" x14ac:dyDescent="0.25">
      <c r="B77" s="14" t="str">
        <f t="shared" si="10"/>
        <v/>
      </c>
      <c r="C77" s="4" t="str">
        <f t="shared" si="6"/>
        <v/>
      </c>
      <c r="D77" s="5" t="str">
        <f t="shared" si="7"/>
        <v/>
      </c>
      <c r="E77" s="7" t="str">
        <f>IF(COUNT(B77)=1,SUM($H$10:$H77),"")</f>
        <v/>
      </c>
      <c r="F77" s="6" t="str">
        <f t="shared" si="8"/>
        <v/>
      </c>
      <c r="G77" s="15" t="str">
        <f t="shared" si="9"/>
        <v/>
      </c>
      <c r="H77" s="13" t="e">
        <f t="shared" si="11"/>
        <v>#VALUE!</v>
      </c>
      <c r="I77" s="8"/>
    </row>
    <row r="78" spans="2:9" x14ac:dyDescent="0.25">
      <c r="B78" s="14" t="str">
        <f t="shared" si="10"/>
        <v/>
      </c>
      <c r="C78" s="4" t="str">
        <f t="shared" si="6"/>
        <v/>
      </c>
      <c r="D78" s="5" t="str">
        <f t="shared" si="7"/>
        <v/>
      </c>
      <c r="E78" s="7" t="str">
        <f>IF(COUNT(B78)=1,SUM($H$10:$H78),"")</f>
        <v/>
      </c>
      <c r="F78" s="6" t="str">
        <f t="shared" si="8"/>
        <v/>
      </c>
      <c r="G78" s="15" t="str">
        <f t="shared" si="9"/>
        <v/>
      </c>
      <c r="H78" s="13" t="e">
        <f t="shared" si="11"/>
        <v>#VALUE!</v>
      </c>
      <c r="I78" s="8"/>
    </row>
    <row r="79" spans="2:9" x14ac:dyDescent="0.25">
      <c r="B79" s="14" t="str">
        <f t="shared" si="10"/>
        <v/>
      </c>
      <c r="C79" s="4" t="str">
        <f t="shared" si="6"/>
        <v/>
      </c>
      <c r="D79" s="5" t="str">
        <f t="shared" si="7"/>
        <v/>
      </c>
      <c r="E79" s="7" t="str">
        <f>IF(COUNT(B79)=1,SUM($H$10:$H79),"")</f>
        <v/>
      </c>
      <c r="F79" s="6" t="str">
        <f t="shared" si="8"/>
        <v/>
      </c>
      <c r="G79" s="15" t="str">
        <f t="shared" si="9"/>
        <v/>
      </c>
      <c r="H79" s="13" t="e">
        <f t="shared" si="11"/>
        <v>#VALUE!</v>
      </c>
      <c r="I79" s="8"/>
    </row>
    <row r="80" spans="2:9" x14ac:dyDescent="0.25">
      <c r="B80" s="14" t="str">
        <f t="shared" si="10"/>
        <v/>
      </c>
      <c r="C80" s="4" t="str">
        <f t="shared" si="6"/>
        <v/>
      </c>
      <c r="D80" s="5" t="str">
        <f t="shared" si="7"/>
        <v/>
      </c>
      <c r="E80" s="7" t="str">
        <f>IF(COUNT(B80)=1,SUM($H$10:$H80),"")</f>
        <v/>
      </c>
      <c r="F80" s="6" t="str">
        <f t="shared" si="8"/>
        <v/>
      </c>
      <c r="G80" s="15" t="str">
        <f t="shared" si="9"/>
        <v/>
      </c>
      <c r="H80" s="13" t="e">
        <f t="shared" si="11"/>
        <v>#VALUE!</v>
      </c>
      <c r="I80" s="8"/>
    </row>
    <row r="81" spans="2:9" ht="15.75" thickBot="1" x14ac:dyDescent="0.3">
      <c r="B81" s="34" t="str">
        <f t="shared" si="10"/>
        <v/>
      </c>
      <c r="C81" s="35" t="str">
        <f t="shared" si="6"/>
        <v/>
      </c>
      <c r="D81" s="36" t="str">
        <f t="shared" si="7"/>
        <v/>
      </c>
      <c r="E81" s="37" t="str">
        <f>IF(COUNT(B81)=1,SUM($H$10:$H81),"")</f>
        <v/>
      </c>
      <c r="F81" s="38" t="str">
        <f t="shared" si="8"/>
        <v/>
      </c>
      <c r="G81" s="39" t="str">
        <f t="shared" si="9"/>
        <v/>
      </c>
      <c r="H81" s="13" t="e">
        <f t="shared" si="11"/>
        <v>#VALUE!</v>
      </c>
      <c r="I81" s="8"/>
    </row>
    <row r="82" spans="2:9" x14ac:dyDescent="0.25">
      <c r="B82" s="14" t="str">
        <f t="shared" si="10"/>
        <v/>
      </c>
      <c r="C82" s="23" t="str">
        <f t="shared" si="6"/>
        <v/>
      </c>
      <c r="D82" s="24" t="str">
        <f t="shared" si="7"/>
        <v/>
      </c>
      <c r="E82" s="25" t="str">
        <f>IF(COUNT(B82)=1,SUM($H$10:$H82),"")</f>
        <v/>
      </c>
      <c r="F82" s="26" t="str">
        <f t="shared" si="8"/>
        <v/>
      </c>
      <c r="G82" s="27" t="str">
        <f t="shared" si="9"/>
        <v/>
      </c>
      <c r="H82" s="13" t="e">
        <f t="shared" si="11"/>
        <v>#VALUE!</v>
      </c>
      <c r="I82" s="8"/>
    </row>
    <row r="83" spans="2:9" x14ac:dyDescent="0.25">
      <c r="B83" s="14" t="str">
        <f t="shared" si="10"/>
        <v/>
      </c>
      <c r="C83" s="4" t="str">
        <f t="shared" si="6"/>
        <v/>
      </c>
      <c r="D83" s="5" t="str">
        <f t="shared" si="7"/>
        <v/>
      </c>
      <c r="E83" s="7" t="str">
        <f>IF(COUNT(B83)=1,SUM($H$10:$H83),"")</f>
        <v/>
      </c>
      <c r="F83" s="6" t="str">
        <f t="shared" si="8"/>
        <v/>
      </c>
      <c r="G83" s="15" t="str">
        <f t="shared" si="9"/>
        <v/>
      </c>
      <c r="H83" s="13" t="e">
        <f t="shared" si="11"/>
        <v>#VALUE!</v>
      </c>
      <c r="I83" s="8"/>
    </row>
    <row r="84" spans="2:9" x14ac:dyDescent="0.25">
      <c r="B84" s="14" t="str">
        <f t="shared" si="10"/>
        <v/>
      </c>
      <c r="C84" s="4" t="str">
        <f t="shared" si="6"/>
        <v/>
      </c>
      <c r="D84" s="5" t="str">
        <f t="shared" si="7"/>
        <v/>
      </c>
      <c r="E84" s="7" t="str">
        <f>IF(COUNT(B84)=1,SUM($H$10:$H84),"")</f>
        <v/>
      </c>
      <c r="F84" s="6" t="str">
        <f t="shared" si="8"/>
        <v/>
      </c>
      <c r="G84" s="15" t="str">
        <f t="shared" si="9"/>
        <v/>
      </c>
      <c r="H84" s="13" t="e">
        <f t="shared" si="11"/>
        <v>#VALUE!</v>
      </c>
      <c r="I84" s="8"/>
    </row>
    <row r="85" spans="2:9" x14ac:dyDescent="0.25">
      <c r="B85" s="14" t="str">
        <f t="shared" si="10"/>
        <v/>
      </c>
      <c r="C85" s="4" t="str">
        <f t="shared" si="6"/>
        <v/>
      </c>
      <c r="D85" s="5" t="str">
        <f t="shared" si="7"/>
        <v/>
      </c>
      <c r="E85" s="7" t="str">
        <f>IF(COUNT(B85)=1,SUM($H$10:$H85),"")</f>
        <v/>
      </c>
      <c r="F85" s="6" t="str">
        <f t="shared" si="8"/>
        <v/>
      </c>
      <c r="G85" s="15" t="str">
        <f t="shared" si="9"/>
        <v/>
      </c>
      <c r="H85" s="13" t="e">
        <f t="shared" si="11"/>
        <v>#VALUE!</v>
      </c>
      <c r="I85" s="8"/>
    </row>
    <row r="86" spans="2:9" x14ac:dyDescent="0.25">
      <c r="B86" s="14" t="str">
        <f t="shared" si="10"/>
        <v/>
      </c>
      <c r="C86" s="4" t="str">
        <f t="shared" si="6"/>
        <v/>
      </c>
      <c r="D86" s="5" t="str">
        <f t="shared" si="7"/>
        <v/>
      </c>
      <c r="E86" s="7" t="str">
        <f>IF(COUNT(B86)=1,SUM($H$10:$H86),"")</f>
        <v/>
      </c>
      <c r="F86" s="6" t="str">
        <f t="shared" si="8"/>
        <v/>
      </c>
      <c r="G86" s="15" t="str">
        <f t="shared" si="9"/>
        <v/>
      </c>
      <c r="H86" s="13" t="e">
        <f t="shared" si="11"/>
        <v>#VALUE!</v>
      </c>
      <c r="I86" s="8"/>
    </row>
    <row r="87" spans="2:9" x14ac:dyDescent="0.25">
      <c r="B87" s="14" t="str">
        <f t="shared" si="10"/>
        <v/>
      </c>
      <c r="C87" s="4" t="str">
        <f t="shared" si="6"/>
        <v/>
      </c>
      <c r="D87" s="5" t="str">
        <f t="shared" si="7"/>
        <v/>
      </c>
      <c r="E87" s="7" t="str">
        <f>IF(COUNT(B87)=1,SUM($H$10:$H87),"")</f>
        <v/>
      </c>
      <c r="F87" s="6" t="str">
        <f t="shared" si="8"/>
        <v/>
      </c>
      <c r="G87" s="15" t="str">
        <f t="shared" si="9"/>
        <v/>
      </c>
      <c r="H87" s="13" t="e">
        <f t="shared" si="11"/>
        <v>#VALUE!</v>
      </c>
      <c r="I87" s="8"/>
    </row>
    <row r="88" spans="2:9" x14ac:dyDescent="0.25">
      <c r="B88" s="14" t="str">
        <f t="shared" si="10"/>
        <v/>
      </c>
      <c r="C88" s="4" t="str">
        <f t="shared" si="6"/>
        <v/>
      </c>
      <c r="D88" s="5" t="str">
        <f t="shared" si="7"/>
        <v/>
      </c>
      <c r="E88" s="7" t="str">
        <f>IF(COUNT(B88)=1,SUM($H$10:$H88),"")</f>
        <v/>
      </c>
      <c r="F88" s="6" t="str">
        <f t="shared" si="8"/>
        <v/>
      </c>
      <c r="G88" s="15" t="str">
        <f t="shared" si="9"/>
        <v/>
      </c>
      <c r="H88" s="13" t="e">
        <f t="shared" si="11"/>
        <v>#VALUE!</v>
      </c>
      <c r="I88" s="8"/>
    </row>
    <row r="89" spans="2:9" x14ac:dyDescent="0.25">
      <c r="B89" s="14" t="str">
        <f t="shared" si="10"/>
        <v/>
      </c>
      <c r="C89" s="4" t="str">
        <f t="shared" si="6"/>
        <v/>
      </c>
      <c r="D89" s="5" t="str">
        <f t="shared" si="7"/>
        <v/>
      </c>
      <c r="E89" s="7" t="str">
        <f>IF(COUNT(B89)=1,SUM($H$10:$H89),"")</f>
        <v/>
      </c>
      <c r="F89" s="6" t="str">
        <f t="shared" si="8"/>
        <v/>
      </c>
      <c r="G89" s="15" t="str">
        <f t="shared" si="9"/>
        <v/>
      </c>
      <c r="H89" s="13" t="e">
        <f t="shared" si="11"/>
        <v>#VALUE!</v>
      </c>
      <c r="I89" s="8"/>
    </row>
    <row r="90" spans="2:9" x14ac:dyDescent="0.25">
      <c r="B90" s="14" t="str">
        <f t="shared" si="10"/>
        <v/>
      </c>
      <c r="C90" s="4" t="str">
        <f t="shared" si="6"/>
        <v/>
      </c>
      <c r="D90" s="5" t="str">
        <f t="shared" si="7"/>
        <v/>
      </c>
      <c r="E90" s="7" t="str">
        <f>IF(COUNT(B90)=1,SUM($H$10:$H90),"")</f>
        <v/>
      </c>
      <c r="F90" s="6" t="str">
        <f t="shared" si="8"/>
        <v/>
      </c>
      <c r="G90" s="15" t="str">
        <f t="shared" si="9"/>
        <v/>
      </c>
      <c r="H90" s="13" t="e">
        <f t="shared" si="11"/>
        <v>#VALUE!</v>
      </c>
      <c r="I90" s="8"/>
    </row>
    <row r="91" spans="2:9" x14ac:dyDescent="0.25">
      <c r="B91" s="14" t="str">
        <f t="shared" si="10"/>
        <v/>
      </c>
      <c r="C91" s="4" t="str">
        <f t="shared" si="6"/>
        <v/>
      </c>
      <c r="D91" s="5" t="str">
        <f t="shared" si="7"/>
        <v/>
      </c>
      <c r="E91" s="7" t="str">
        <f>IF(COUNT(B91)=1,SUM($H$10:$H91),"")</f>
        <v/>
      </c>
      <c r="F91" s="6" t="str">
        <f t="shared" si="8"/>
        <v/>
      </c>
      <c r="G91" s="15" t="str">
        <f t="shared" si="9"/>
        <v/>
      </c>
      <c r="H91" s="13" t="e">
        <f t="shared" si="11"/>
        <v>#VALUE!</v>
      </c>
      <c r="I91" s="8"/>
    </row>
    <row r="92" spans="2:9" x14ac:dyDescent="0.25">
      <c r="B92" s="14" t="str">
        <f t="shared" si="10"/>
        <v/>
      </c>
      <c r="C92" s="4" t="str">
        <f t="shared" si="6"/>
        <v/>
      </c>
      <c r="D92" s="5" t="str">
        <f t="shared" si="7"/>
        <v/>
      </c>
      <c r="E92" s="7" t="str">
        <f>IF(COUNT(B92)=1,SUM($H$10:$H92),"")</f>
        <v/>
      </c>
      <c r="F92" s="6" t="str">
        <f t="shared" si="8"/>
        <v/>
      </c>
      <c r="G92" s="15" t="str">
        <f t="shared" si="9"/>
        <v/>
      </c>
      <c r="H92" s="13" t="e">
        <f t="shared" si="11"/>
        <v>#VALUE!</v>
      </c>
      <c r="I92" s="8"/>
    </row>
    <row r="93" spans="2:9" ht="15.75" thickBot="1" x14ac:dyDescent="0.3">
      <c r="B93" s="34" t="str">
        <f t="shared" si="10"/>
        <v/>
      </c>
      <c r="C93" s="35" t="str">
        <f t="shared" si="6"/>
        <v/>
      </c>
      <c r="D93" s="36" t="str">
        <f t="shared" si="7"/>
        <v/>
      </c>
      <c r="E93" s="37" t="str">
        <f>IF(COUNT(B93)=1,SUM($H$10:$H93),"")</f>
        <v/>
      </c>
      <c r="F93" s="38" t="str">
        <f t="shared" si="8"/>
        <v/>
      </c>
      <c r="G93" s="39" t="str">
        <f t="shared" si="9"/>
        <v/>
      </c>
      <c r="H93" s="13" t="e">
        <f t="shared" si="11"/>
        <v>#VALUE!</v>
      </c>
      <c r="I93" s="8"/>
    </row>
    <row r="94" spans="2:9" x14ac:dyDescent="0.25">
      <c r="B94" s="22" t="str">
        <f t="shared" si="10"/>
        <v/>
      </c>
      <c r="C94" s="23" t="str">
        <f t="shared" si="6"/>
        <v/>
      </c>
      <c r="D94" s="24" t="str">
        <f t="shared" si="7"/>
        <v/>
      </c>
      <c r="E94" s="25" t="str">
        <f>IF(COUNT(B94)=1,SUM($H$10:$H94),"")</f>
        <v/>
      </c>
      <c r="F94" s="26" t="str">
        <f t="shared" si="8"/>
        <v/>
      </c>
      <c r="G94" s="27" t="str">
        <f t="shared" si="9"/>
        <v/>
      </c>
      <c r="H94" s="13" t="e">
        <f t="shared" si="11"/>
        <v>#VALUE!</v>
      </c>
      <c r="I94" s="8"/>
    </row>
    <row r="95" spans="2:9" x14ac:dyDescent="0.25">
      <c r="B95" s="14" t="str">
        <f t="shared" si="10"/>
        <v/>
      </c>
      <c r="C95" s="4" t="str">
        <f t="shared" si="6"/>
        <v/>
      </c>
      <c r="D95" s="5" t="str">
        <f t="shared" si="7"/>
        <v/>
      </c>
      <c r="E95" s="7" t="str">
        <f>IF(COUNT(B95)=1,SUM($H$10:$H95),"")</f>
        <v/>
      </c>
      <c r="F95" s="6" t="str">
        <f t="shared" si="8"/>
        <v/>
      </c>
      <c r="G95" s="15" t="str">
        <f t="shared" si="9"/>
        <v/>
      </c>
      <c r="H95" s="13" t="e">
        <f t="shared" si="11"/>
        <v>#VALUE!</v>
      </c>
      <c r="I95" s="8"/>
    </row>
    <row r="96" spans="2:9" x14ac:dyDescent="0.25">
      <c r="B96" s="14" t="str">
        <f t="shared" si="10"/>
        <v/>
      </c>
      <c r="C96" s="4" t="str">
        <f t="shared" si="6"/>
        <v/>
      </c>
      <c r="D96" s="5" t="str">
        <f t="shared" si="7"/>
        <v/>
      </c>
      <c r="E96" s="7" t="str">
        <f>IF(COUNT(B96)=1,SUM($H$10:$H96),"")</f>
        <v/>
      </c>
      <c r="F96" s="6" t="str">
        <f t="shared" si="8"/>
        <v/>
      </c>
      <c r="G96" s="15" t="str">
        <f t="shared" si="9"/>
        <v/>
      </c>
      <c r="H96" s="13" t="e">
        <f t="shared" si="11"/>
        <v>#VALUE!</v>
      </c>
      <c r="I96" s="8"/>
    </row>
    <row r="97" spans="2:9" x14ac:dyDescent="0.25">
      <c r="B97" s="14" t="str">
        <f t="shared" si="10"/>
        <v/>
      </c>
      <c r="C97" s="4" t="str">
        <f t="shared" si="6"/>
        <v/>
      </c>
      <c r="D97" s="5" t="str">
        <f t="shared" si="7"/>
        <v/>
      </c>
      <c r="E97" s="7" t="str">
        <f>IF(COUNT(B97)=1,SUM($H$10:$H97),"")</f>
        <v/>
      </c>
      <c r="F97" s="6" t="str">
        <f t="shared" si="8"/>
        <v/>
      </c>
      <c r="G97" s="15" t="str">
        <f t="shared" si="9"/>
        <v/>
      </c>
      <c r="H97" s="13" t="e">
        <f t="shared" si="11"/>
        <v>#VALUE!</v>
      </c>
      <c r="I97" s="8"/>
    </row>
    <row r="98" spans="2:9" x14ac:dyDescent="0.25">
      <c r="B98" s="14" t="str">
        <f t="shared" si="10"/>
        <v/>
      </c>
      <c r="C98" s="4" t="str">
        <f t="shared" si="6"/>
        <v/>
      </c>
      <c r="D98" s="5" t="str">
        <f t="shared" si="7"/>
        <v/>
      </c>
      <c r="E98" s="7" t="str">
        <f>IF(COUNT(B98)=1,SUM($H$10:$H98),"")</f>
        <v/>
      </c>
      <c r="F98" s="6" t="str">
        <f t="shared" si="8"/>
        <v/>
      </c>
      <c r="G98" s="15" t="str">
        <f t="shared" si="9"/>
        <v/>
      </c>
      <c r="H98" s="13" t="e">
        <f t="shared" si="11"/>
        <v>#VALUE!</v>
      </c>
      <c r="I98" s="8"/>
    </row>
    <row r="99" spans="2:9" x14ac:dyDescent="0.25">
      <c r="B99" s="14" t="str">
        <f t="shared" si="10"/>
        <v/>
      </c>
      <c r="C99" s="4" t="str">
        <f t="shared" si="6"/>
        <v/>
      </c>
      <c r="D99" s="5" t="str">
        <f t="shared" si="7"/>
        <v/>
      </c>
      <c r="E99" s="7" t="str">
        <f>IF(COUNT(B99)=1,SUM($H$10:$H99),"")</f>
        <v/>
      </c>
      <c r="F99" s="6" t="str">
        <f t="shared" si="8"/>
        <v/>
      </c>
      <c r="G99" s="15" t="str">
        <f t="shared" si="9"/>
        <v/>
      </c>
      <c r="H99" s="13" t="e">
        <f t="shared" si="11"/>
        <v>#VALUE!</v>
      </c>
      <c r="I99" s="8"/>
    </row>
    <row r="100" spans="2:9" x14ac:dyDescent="0.25">
      <c r="B100" s="14" t="str">
        <f t="shared" si="10"/>
        <v/>
      </c>
      <c r="C100" s="4" t="str">
        <f t="shared" si="6"/>
        <v/>
      </c>
      <c r="D100" s="5" t="str">
        <f t="shared" si="7"/>
        <v/>
      </c>
      <c r="E100" s="7" t="str">
        <f>IF(COUNT(B100)=1,SUM($H$10:$H100),"")</f>
        <v/>
      </c>
      <c r="F100" s="6" t="str">
        <f t="shared" si="8"/>
        <v/>
      </c>
      <c r="G100" s="15" t="str">
        <f t="shared" si="9"/>
        <v/>
      </c>
      <c r="H100" s="13" t="e">
        <f t="shared" si="11"/>
        <v>#VALUE!</v>
      </c>
      <c r="I100" s="8"/>
    </row>
    <row r="101" spans="2:9" x14ac:dyDescent="0.25">
      <c r="B101" s="14" t="str">
        <f t="shared" si="10"/>
        <v/>
      </c>
      <c r="C101" s="4" t="str">
        <f t="shared" si="6"/>
        <v/>
      </c>
      <c r="D101" s="5" t="str">
        <f t="shared" si="7"/>
        <v/>
      </c>
      <c r="E101" s="7" t="str">
        <f>IF(COUNT(B101)=1,SUM($H$10:$H101),"")</f>
        <v/>
      </c>
      <c r="F101" s="6" t="str">
        <f t="shared" si="8"/>
        <v/>
      </c>
      <c r="G101" s="15" t="str">
        <f t="shared" si="9"/>
        <v/>
      </c>
      <c r="H101" s="13" t="e">
        <f t="shared" si="11"/>
        <v>#VALUE!</v>
      </c>
      <c r="I101" s="8"/>
    </row>
    <row r="102" spans="2:9" x14ac:dyDescent="0.25">
      <c r="B102" s="14" t="str">
        <f t="shared" si="10"/>
        <v/>
      </c>
      <c r="C102" s="4" t="str">
        <f t="shared" si="6"/>
        <v/>
      </c>
      <c r="D102" s="5" t="str">
        <f t="shared" si="7"/>
        <v/>
      </c>
      <c r="E102" s="7" t="str">
        <f>IF(COUNT(B102)=1,SUM($H$10:$H102),"")</f>
        <v/>
      </c>
      <c r="F102" s="6" t="str">
        <f t="shared" si="8"/>
        <v/>
      </c>
      <c r="G102" s="15" t="str">
        <f t="shared" si="9"/>
        <v/>
      </c>
      <c r="H102" s="13" t="e">
        <f t="shared" si="11"/>
        <v>#VALUE!</v>
      </c>
      <c r="I102" s="8"/>
    </row>
    <row r="103" spans="2:9" x14ac:dyDescent="0.25">
      <c r="B103" s="14" t="str">
        <f t="shared" si="10"/>
        <v/>
      </c>
      <c r="C103" s="4" t="str">
        <f t="shared" si="6"/>
        <v/>
      </c>
      <c r="D103" s="5" t="str">
        <f t="shared" si="7"/>
        <v/>
      </c>
      <c r="E103" s="7" t="str">
        <f>IF(COUNT(B103)=1,SUM($H$10:$H103),"")</f>
        <v/>
      </c>
      <c r="F103" s="6" t="str">
        <f t="shared" si="8"/>
        <v/>
      </c>
      <c r="G103" s="15" t="str">
        <f t="shared" si="9"/>
        <v/>
      </c>
      <c r="H103" s="13" t="e">
        <f t="shared" si="11"/>
        <v>#VALUE!</v>
      </c>
      <c r="I103" s="8"/>
    </row>
    <row r="104" spans="2:9" x14ac:dyDescent="0.25">
      <c r="B104" s="14" t="str">
        <f t="shared" si="10"/>
        <v/>
      </c>
      <c r="C104" s="4" t="str">
        <f t="shared" si="6"/>
        <v/>
      </c>
      <c r="D104" s="5" t="str">
        <f t="shared" si="7"/>
        <v/>
      </c>
      <c r="E104" s="7" t="str">
        <f>IF(COUNT(B104)=1,SUM($H$10:$H104),"")</f>
        <v/>
      </c>
      <c r="F104" s="6" t="str">
        <f t="shared" si="8"/>
        <v/>
      </c>
      <c r="G104" s="15" t="str">
        <f t="shared" si="9"/>
        <v/>
      </c>
      <c r="H104" s="13" t="e">
        <f t="shared" si="11"/>
        <v>#VALUE!</v>
      </c>
      <c r="I104" s="8"/>
    </row>
    <row r="105" spans="2:9" ht="15.75" thickBot="1" x14ac:dyDescent="0.3">
      <c r="B105" s="34" t="str">
        <f t="shared" si="10"/>
        <v/>
      </c>
      <c r="C105" s="35" t="str">
        <f t="shared" si="6"/>
        <v/>
      </c>
      <c r="D105" s="36" t="str">
        <f t="shared" si="7"/>
        <v/>
      </c>
      <c r="E105" s="37" t="str">
        <f>IF(COUNT(B105)=1,SUM($H$10:$H105),"")</f>
        <v/>
      </c>
      <c r="F105" s="38" t="str">
        <f t="shared" si="8"/>
        <v/>
      </c>
      <c r="G105" s="39" t="str">
        <f t="shared" si="9"/>
        <v/>
      </c>
      <c r="H105" s="13" t="e">
        <f t="shared" si="11"/>
        <v>#VALUE!</v>
      </c>
      <c r="I105" s="8"/>
    </row>
    <row r="106" spans="2:9" x14ac:dyDescent="0.25">
      <c r="B106" s="14" t="str">
        <f t="shared" si="10"/>
        <v/>
      </c>
      <c r="C106" s="23" t="str">
        <f t="shared" si="6"/>
        <v/>
      </c>
      <c r="D106" s="24" t="str">
        <f t="shared" si="7"/>
        <v/>
      </c>
      <c r="E106" s="25" t="str">
        <f>IF(COUNT(B106)=1,SUM($H$10:$H106),"")</f>
        <v/>
      </c>
      <c r="F106" s="26" t="str">
        <f t="shared" si="8"/>
        <v/>
      </c>
      <c r="G106" s="27" t="str">
        <f t="shared" si="9"/>
        <v/>
      </c>
      <c r="H106" s="13" t="e">
        <f t="shared" si="11"/>
        <v>#VALUE!</v>
      </c>
      <c r="I106" s="8"/>
    </row>
    <row r="107" spans="2:9" x14ac:dyDescent="0.25">
      <c r="B107" s="14" t="str">
        <f t="shared" si="10"/>
        <v/>
      </c>
      <c r="C107" s="4" t="str">
        <f t="shared" si="6"/>
        <v/>
      </c>
      <c r="D107" s="5" t="str">
        <f t="shared" si="7"/>
        <v/>
      </c>
      <c r="E107" s="7" t="str">
        <f>IF(COUNT(B107)=1,SUM($H$10:$H107),"")</f>
        <v/>
      </c>
      <c r="F107" s="6" t="str">
        <f t="shared" si="8"/>
        <v/>
      </c>
      <c r="G107" s="15" t="str">
        <f t="shared" si="9"/>
        <v/>
      </c>
      <c r="H107" s="13" t="e">
        <f t="shared" si="11"/>
        <v>#VALUE!</v>
      </c>
      <c r="I107" s="8"/>
    </row>
    <row r="108" spans="2:9" x14ac:dyDescent="0.25">
      <c r="B108" s="14" t="str">
        <f t="shared" si="10"/>
        <v/>
      </c>
      <c r="C108" s="4" t="str">
        <f t="shared" si="6"/>
        <v/>
      </c>
      <c r="D108" s="5" t="str">
        <f t="shared" si="7"/>
        <v/>
      </c>
      <c r="E108" s="7" t="str">
        <f>IF(COUNT(B108)=1,SUM($H$10:$H108),"")</f>
        <v/>
      </c>
      <c r="F108" s="6" t="str">
        <f t="shared" si="8"/>
        <v/>
      </c>
      <c r="G108" s="15" t="str">
        <f t="shared" si="9"/>
        <v/>
      </c>
      <c r="H108" s="13" t="e">
        <f t="shared" si="11"/>
        <v>#VALUE!</v>
      </c>
      <c r="I108" s="8"/>
    </row>
    <row r="109" spans="2:9" x14ac:dyDescent="0.25">
      <c r="B109" s="14" t="str">
        <f t="shared" si="10"/>
        <v/>
      </c>
      <c r="C109" s="4" t="str">
        <f t="shared" si="6"/>
        <v/>
      </c>
      <c r="D109" s="5" t="str">
        <f t="shared" si="7"/>
        <v/>
      </c>
      <c r="E109" s="7" t="str">
        <f>IF(COUNT(B109)=1,SUM($H$10:$H109),"")</f>
        <v/>
      </c>
      <c r="F109" s="6" t="str">
        <f t="shared" si="8"/>
        <v/>
      </c>
      <c r="G109" s="15" t="str">
        <f t="shared" si="9"/>
        <v/>
      </c>
      <c r="H109" s="13" t="e">
        <f t="shared" si="11"/>
        <v>#VALUE!</v>
      </c>
      <c r="I109" s="8"/>
    </row>
    <row r="110" spans="2:9" x14ac:dyDescent="0.25">
      <c r="B110" s="14" t="str">
        <f t="shared" si="10"/>
        <v/>
      </c>
      <c r="C110" s="4" t="str">
        <f t="shared" ref="C110:C173" si="12">IF(COUNT(B110)=1,DATE(YEAR(C109),MONTH(C109)+1,DAY(C109)),"")</f>
        <v/>
      </c>
      <c r="D110" s="5" t="str">
        <f t="shared" ref="D110:D173" si="13">IF(COUNT(B110)=1,DATE(YEAR(D109),MONTH(D109)+1,DAY(D109)),"")</f>
        <v/>
      </c>
      <c r="E110" s="7" t="str">
        <f>IF(COUNT(B110)=1,SUM($H$10:$H110),"")</f>
        <v/>
      </c>
      <c r="F110" s="6" t="str">
        <f t="shared" ref="F110:F173" si="14">IF(COUNT(B110)=1,B110*$E$4,"")</f>
        <v/>
      </c>
      <c r="G110" s="15" t="str">
        <f t="shared" ref="G110:G173" si="15">IF(COUNT(B110)=1,$E$4*B110+E110,"")</f>
        <v/>
      </c>
      <c r="H110" s="13" t="e">
        <f t="shared" si="11"/>
        <v>#VALUE!</v>
      </c>
      <c r="I110" s="8"/>
    </row>
    <row r="111" spans="2:9" x14ac:dyDescent="0.25">
      <c r="B111" s="14" t="str">
        <f t="shared" si="10"/>
        <v/>
      </c>
      <c r="C111" s="4" t="str">
        <f t="shared" si="12"/>
        <v/>
      </c>
      <c r="D111" s="5" t="str">
        <f t="shared" si="13"/>
        <v/>
      </c>
      <c r="E111" s="7" t="str">
        <f>IF(COUNT(B111)=1,SUM($H$10:$H111),"")</f>
        <v/>
      </c>
      <c r="F111" s="6" t="str">
        <f t="shared" si="14"/>
        <v/>
      </c>
      <c r="G111" s="15" t="str">
        <f t="shared" si="15"/>
        <v/>
      </c>
      <c r="H111" s="13" t="e">
        <f t="shared" si="11"/>
        <v>#VALUE!</v>
      </c>
      <c r="I111" s="8"/>
    </row>
    <row r="112" spans="2:9" x14ac:dyDescent="0.25">
      <c r="B112" s="14" t="str">
        <f t="shared" si="10"/>
        <v/>
      </c>
      <c r="C112" s="4" t="str">
        <f t="shared" si="12"/>
        <v/>
      </c>
      <c r="D112" s="5" t="str">
        <f t="shared" si="13"/>
        <v/>
      </c>
      <c r="E112" s="7" t="str">
        <f>IF(COUNT(B112)=1,SUM($H$10:$H112),"")</f>
        <v/>
      </c>
      <c r="F112" s="6" t="str">
        <f t="shared" si="14"/>
        <v/>
      </c>
      <c r="G112" s="15" t="str">
        <f t="shared" si="15"/>
        <v/>
      </c>
      <c r="H112" s="13" t="e">
        <f t="shared" si="11"/>
        <v>#VALUE!</v>
      </c>
      <c r="I112" s="8"/>
    </row>
    <row r="113" spans="2:9" x14ac:dyDescent="0.25">
      <c r="B113" s="14" t="str">
        <f t="shared" si="10"/>
        <v/>
      </c>
      <c r="C113" s="4" t="str">
        <f t="shared" si="12"/>
        <v/>
      </c>
      <c r="D113" s="5" t="str">
        <f t="shared" si="13"/>
        <v/>
      </c>
      <c r="E113" s="7" t="str">
        <f>IF(COUNT(B113)=1,SUM($H$10:$H113),"")</f>
        <v/>
      </c>
      <c r="F113" s="6" t="str">
        <f t="shared" si="14"/>
        <v/>
      </c>
      <c r="G113" s="15" t="str">
        <f t="shared" si="15"/>
        <v/>
      </c>
      <c r="H113" s="13" t="e">
        <f t="shared" si="11"/>
        <v>#VALUE!</v>
      </c>
      <c r="I113" s="8"/>
    </row>
    <row r="114" spans="2:9" x14ac:dyDescent="0.25">
      <c r="B114" s="14" t="str">
        <f t="shared" si="10"/>
        <v/>
      </c>
      <c r="C114" s="4" t="str">
        <f t="shared" si="12"/>
        <v/>
      </c>
      <c r="D114" s="5" t="str">
        <f t="shared" si="13"/>
        <v/>
      </c>
      <c r="E114" s="7" t="str">
        <f>IF(COUNT(B114)=1,SUM($H$10:$H114),"")</f>
        <v/>
      </c>
      <c r="F114" s="6" t="str">
        <f t="shared" si="14"/>
        <v/>
      </c>
      <c r="G114" s="15" t="str">
        <f t="shared" si="15"/>
        <v/>
      </c>
      <c r="H114" s="13" t="e">
        <f t="shared" si="11"/>
        <v>#VALUE!</v>
      </c>
      <c r="I114" s="8"/>
    </row>
    <row r="115" spans="2:9" x14ac:dyDescent="0.25">
      <c r="B115" s="14" t="str">
        <f t="shared" si="10"/>
        <v/>
      </c>
      <c r="C115" s="4" t="str">
        <f t="shared" si="12"/>
        <v/>
      </c>
      <c r="D115" s="5" t="str">
        <f t="shared" si="13"/>
        <v/>
      </c>
      <c r="E115" s="7" t="str">
        <f>IF(COUNT(B115)=1,SUM($H$10:$H115),"")</f>
        <v/>
      </c>
      <c r="F115" s="6" t="str">
        <f t="shared" si="14"/>
        <v/>
      </c>
      <c r="G115" s="15" t="str">
        <f t="shared" si="15"/>
        <v/>
      </c>
      <c r="H115" s="13" t="e">
        <f t="shared" si="11"/>
        <v>#VALUE!</v>
      </c>
      <c r="I115" s="8"/>
    </row>
    <row r="116" spans="2:9" x14ac:dyDescent="0.25">
      <c r="B116" s="14" t="str">
        <f t="shared" si="10"/>
        <v/>
      </c>
      <c r="C116" s="4" t="str">
        <f t="shared" si="12"/>
        <v/>
      </c>
      <c r="D116" s="5" t="str">
        <f t="shared" si="13"/>
        <v/>
      </c>
      <c r="E116" s="7" t="str">
        <f>IF(COUNT(B116)=1,SUM($H$10:$H116),"")</f>
        <v/>
      </c>
      <c r="F116" s="6" t="str">
        <f t="shared" si="14"/>
        <v/>
      </c>
      <c r="G116" s="15" t="str">
        <f t="shared" si="15"/>
        <v/>
      </c>
      <c r="H116" s="13" t="e">
        <f t="shared" si="11"/>
        <v>#VALUE!</v>
      </c>
      <c r="I116" s="8"/>
    </row>
    <row r="117" spans="2:9" ht="15.75" thickBot="1" x14ac:dyDescent="0.3">
      <c r="B117" s="34" t="str">
        <f t="shared" si="10"/>
        <v/>
      </c>
      <c r="C117" s="35" t="str">
        <f t="shared" si="12"/>
        <v/>
      </c>
      <c r="D117" s="36" t="str">
        <f t="shared" si="13"/>
        <v/>
      </c>
      <c r="E117" s="37" t="str">
        <f>IF(COUNT(B117)=1,SUM($H$10:$H117),"")</f>
        <v/>
      </c>
      <c r="F117" s="38" t="str">
        <f t="shared" si="14"/>
        <v/>
      </c>
      <c r="G117" s="39" t="str">
        <f t="shared" si="15"/>
        <v/>
      </c>
      <c r="H117" s="13" t="e">
        <f t="shared" si="11"/>
        <v>#VALUE!</v>
      </c>
      <c r="I117" s="8"/>
    </row>
    <row r="118" spans="2:9" x14ac:dyDescent="0.25">
      <c r="B118" s="22" t="str">
        <f t="shared" si="10"/>
        <v/>
      </c>
      <c r="C118" s="23" t="str">
        <f t="shared" si="12"/>
        <v/>
      </c>
      <c r="D118" s="24" t="str">
        <f t="shared" si="13"/>
        <v/>
      </c>
      <c r="E118" s="25" t="str">
        <f>IF(COUNT(B118)=1,SUM($H$10:$H118),"")</f>
        <v/>
      </c>
      <c r="F118" s="26" t="str">
        <f t="shared" si="14"/>
        <v/>
      </c>
      <c r="G118" s="27" t="str">
        <f t="shared" si="15"/>
        <v/>
      </c>
      <c r="H118" s="13" t="e">
        <f t="shared" si="11"/>
        <v>#VALUE!</v>
      </c>
      <c r="I118" s="8"/>
    </row>
    <row r="119" spans="2:9" x14ac:dyDescent="0.25">
      <c r="B119" s="14" t="str">
        <f t="shared" si="10"/>
        <v/>
      </c>
      <c r="C119" s="4" t="str">
        <f t="shared" si="12"/>
        <v/>
      </c>
      <c r="D119" s="5" t="str">
        <f t="shared" si="13"/>
        <v/>
      </c>
      <c r="E119" s="7" t="str">
        <f>IF(COUNT(B119)=1,SUM($H$10:$H119),"")</f>
        <v/>
      </c>
      <c r="F119" s="6" t="str">
        <f t="shared" si="14"/>
        <v/>
      </c>
      <c r="G119" s="15" t="str">
        <f t="shared" si="15"/>
        <v/>
      </c>
      <c r="H119" s="13" t="e">
        <f t="shared" si="11"/>
        <v>#VALUE!</v>
      </c>
      <c r="I119" s="8"/>
    </row>
    <row r="120" spans="2:9" x14ac:dyDescent="0.25">
      <c r="B120" s="14" t="str">
        <f t="shared" si="10"/>
        <v/>
      </c>
      <c r="C120" s="4" t="str">
        <f t="shared" si="12"/>
        <v/>
      </c>
      <c r="D120" s="5" t="str">
        <f t="shared" si="13"/>
        <v/>
      </c>
      <c r="E120" s="7" t="str">
        <f>IF(COUNT(B120)=1,SUM($H$10:$H120),"")</f>
        <v/>
      </c>
      <c r="F120" s="6" t="str">
        <f t="shared" si="14"/>
        <v/>
      </c>
      <c r="G120" s="15" t="str">
        <f t="shared" si="15"/>
        <v/>
      </c>
      <c r="H120" s="13" t="e">
        <f t="shared" si="11"/>
        <v>#VALUE!</v>
      </c>
      <c r="I120" s="8"/>
    </row>
    <row r="121" spans="2:9" x14ac:dyDescent="0.25">
      <c r="B121" s="14" t="str">
        <f t="shared" si="10"/>
        <v/>
      </c>
      <c r="C121" s="4" t="str">
        <f t="shared" si="12"/>
        <v/>
      </c>
      <c r="D121" s="5" t="str">
        <f t="shared" si="13"/>
        <v/>
      </c>
      <c r="E121" s="7" t="str">
        <f>IF(COUNT(B121)=1,SUM($H$10:$H121),"")</f>
        <v/>
      </c>
      <c r="F121" s="6" t="str">
        <f t="shared" si="14"/>
        <v/>
      </c>
      <c r="G121" s="15" t="str">
        <f t="shared" si="15"/>
        <v/>
      </c>
      <c r="H121" s="13" t="e">
        <f t="shared" si="11"/>
        <v>#VALUE!</v>
      </c>
      <c r="I121" s="8"/>
    </row>
    <row r="122" spans="2:9" x14ac:dyDescent="0.25">
      <c r="B122" s="14" t="str">
        <f t="shared" si="10"/>
        <v/>
      </c>
      <c r="C122" s="4" t="str">
        <f t="shared" si="12"/>
        <v/>
      </c>
      <c r="D122" s="5" t="str">
        <f t="shared" si="13"/>
        <v/>
      </c>
      <c r="E122" s="7" t="str">
        <f>IF(COUNT(B122)=1,SUM($H$10:$H122),"")</f>
        <v/>
      </c>
      <c r="F122" s="6" t="str">
        <f t="shared" si="14"/>
        <v/>
      </c>
      <c r="G122" s="15" t="str">
        <f t="shared" si="15"/>
        <v/>
      </c>
      <c r="H122" s="13" t="e">
        <f t="shared" si="11"/>
        <v>#VALUE!</v>
      </c>
      <c r="I122" s="8"/>
    </row>
    <row r="123" spans="2:9" x14ac:dyDescent="0.25">
      <c r="B123" s="14" t="str">
        <f t="shared" si="10"/>
        <v/>
      </c>
      <c r="C123" s="4" t="str">
        <f t="shared" si="12"/>
        <v/>
      </c>
      <c r="D123" s="5" t="str">
        <f t="shared" si="13"/>
        <v/>
      </c>
      <c r="E123" s="7" t="str">
        <f>IF(COUNT(B123)=1,SUM($H$10:$H123),"")</f>
        <v/>
      </c>
      <c r="F123" s="6" t="str">
        <f t="shared" si="14"/>
        <v/>
      </c>
      <c r="G123" s="15" t="str">
        <f t="shared" si="15"/>
        <v/>
      </c>
      <c r="H123" s="13" t="e">
        <f t="shared" si="11"/>
        <v>#VALUE!</v>
      </c>
      <c r="I123" s="8"/>
    </row>
    <row r="124" spans="2:9" x14ac:dyDescent="0.25">
      <c r="B124" s="14" t="str">
        <f t="shared" si="10"/>
        <v/>
      </c>
      <c r="C124" s="4" t="str">
        <f t="shared" si="12"/>
        <v/>
      </c>
      <c r="D124" s="5" t="str">
        <f t="shared" si="13"/>
        <v/>
      </c>
      <c r="E124" s="7" t="str">
        <f>IF(COUNT(B124)=1,SUM($H$10:$H124),"")</f>
        <v/>
      </c>
      <c r="F124" s="6" t="str">
        <f t="shared" si="14"/>
        <v/>
      </c>
      <c r="G124" s="15" t="str">
        <f t="shared" si="15"/>
        <v/>
      </c>
      <c r="H124" s="13" t="e">
        <f t="shared" si="11"/>
        <v>#VALUE!</v>
      </c>
      <c r="I124" s="8"/>
    </row>
    <row r="125" spans="2:9" x14ac:dyDescent="0.25">
      <c r="B125" s="14" t="str">
        <f t="shared" si="10"/>
        <v/>
      </c>
      <c r="C125" s="4" t="str">
        <f t="shared" si="12"/>
        <v/>
      </c>
      <c r="D125" s="5" t="str">
        <f t="shared" si="13"/>
        <v/>
      </c>
      <c r="E125" s="7" t="str">
        <f>IF(COUNT(B125)=1,SUM($H$10:$H125),"")</f>
        <v/>
      </c>
      <c r="F125" s="6" t="str">
        <f t="shared" si="14"/>
        <v/>
      </c>
      <c r="G125" s="15" t="str">
        <f t="shared" si="15"/>
        <v/>
      </c>
      <c r="H125" s="13" t="e">
        <f t="shared" si="11"/>
        <v>#VALUE!</v>
      </c>
      <c r="I125" s="8"/>
    </row>
    <row r="126" spans="2:9" x14ac:dyDescent="0.25">
      <c r="B126" s="14" t="str">
        <f t="shared" si="10"/>
        <v/>
      </c>
      <c r="C126" s="4" t="str">
        <f t="shared" si="12"/>
        <v/>
      </c>
      <c r="D126" s="5" t="str">
        <f t="shared" si="13"/>
        <v/>
      </c>
      <c r="E126" s="7" t="str">
        <f>IF(COUNT(B126)=1,SUM($H$10:$H126),"")</f>
        <v/>
      </c>
      <c r="F126" s="6" t="str">
        <f t="shared" si="14"/>
        <v/>
      </c>
      <c r="G126" s="15" t="str">
        <f t="shared" si="15"/>
        <v/>
      </c>
      <c r="H126" s="13" t="e">
        <f t="shared" si="11"/>
        <v>#VALUE!</v>
      </c>
      <c r="I126" s="8"/>
    </row>
    <row r="127" spans="2:9" x14ac:dyDescent="0.25">
      <c r="B127" s="14" t="str">
        <f t="shared" si="10"/>
        <v/>
      </c>
      <c r="C127" s="4" t="str">
        <f t="shared" si="12"/>
        <v/>
      </c>
      <c r="D127" s="5" t="str">
        <f t="shared" si="13"/>
        <v/>
      </c>
      <c r="E127" s="7" t="str">
        <f>IF(COUNT(B127)=1,SUM($H$10:$H127),"")</f>
        <v/>
      </c>
      <c r="F127" s="6" t="str">
        <f t="shared" si="14"/>
        <v/>
      </c>
      <c r="G127" s="15" t="str">
        <f t="shared" si="15"/>
        <v/>
      </c>
      <c r="H127" s="13" t="e">
        <f t="shared" si="11"/>
        <v>#VALUE!</v>
      </c>
      <c r="I127" s="8"/>
    </row>
    <row r="128" spans="2:9" x14ac:dyDescent="0.25">
      <c r="B128" s="14" t="str">
        <f t="shared" si="10"/>
        <v/>
      </c>
      <c r="C128" s="4" t="str">
        <f t="shared" si="12"/>
        <v/>
      </c>
      <c r="D128" s="5" t="str">
        <f t="shared" si="13"/>
        <v/>
      </c>
      <c r="E128" s="7" t="str">
        <f>IF(COUNT(B128)=1,SUM($H$10:$H128),"")</f>
        <v/>
      </c>
      <c r="F128" s="6" t="str">
        <f t="shared" si="14"/>
        <v/>
      </c>
      <c r="G128" s="15" t="str">
        <f t="shared" si="15"/>
        <v/>
      </c>
      <c r="H128" s="13" t="e">
        <f t="shared" si="11"/>
        <v>#VALUE!</v>
      </c>
      <c r="I128" s="8"/>
    </row>
    <row r="129" spans="2:18" ht="15.75" thickBot="1" x14ac:dyDescent="0.3">
      <c r="B129" s="34" t="str">
        <f t="shared" si="10"/>
        <v/>
      </c>
      <c r="C129" s="35" t="str">
        <f t="shared" si="12"/>
        <v/>
      </c>
      <c r="D129" s="36" t="str">
        <f t="shared" si="13"/>
        <v/>
      </c>
      <c r="E129" s="37" t="str">
        <f>IF(COUNT(B129)=1,SUM($H$10:$H129),"")</f>
        <v/>
      </c>
      <c r="F129" s="38" t="str">
        <f t="shared" si="14"/>
        <v/>
      </c>
      <c r="G129" s="39" t="str">
        <f t="shared" si="15"/>
        <v/>
      </c>
      <c r="H129" s="13" t="e">
        <f t="shared" si="11"/>
        <v>#VALUE!</v>
      </c>
      <c r="I129" s="8"/>
    </row>
    <row r="130" spans="2:18" s="3" customFormat="1" ht="15" hidden="1" customHeight="1" x14ac:dyDescent="0.25">
      <c r="B130" s="14" t="str">
        <f t="shared" si="10"/>
        <v/>
      </c>
      <c r="C130" s="23" t="str">
        <f t="shared" si="12"/>
        <v/>
      </c>
      <c r="D130" s="24" t="str">
        <f t="shared" si="13"/>
        <v/>
      </c>
      <c r="E130" s="25" t="str">
        <f>IF(COUNT(B130)=1,SUM($H$10:$H130),"")</f>
        <v/>
      </c>
      <c r="F130" s="26" t="str">
        <f t="shared" si="14"/>
        <v/>
      </c>
      <c r="G130" s="27" t="str">
        <f t="shared" si="15"/>
        <v/>
      </c>
      <c r="H130" s="13" t="e">
        <f t="shared" si="11"/>
        <v>#VALUE!</v>
      </c>
      <c r="I130" s="8"/>
      <c r="J130" s="1"/>
      <c r="K130" s="1"/>
      <c r="L130" s="1"/>
      <c r="M130" s="1"/>
      <c r="N130" s="1"/>
      <c r="O130" s="1"/>
      <c r="P130" s="1"/>
      <c r="Q130" s="1"/>
      <c r="R130" s="1"/>
    </row>
    <row r="131" spans="2:18" x14ac:dyDescent="0.25">
      <c r="B131" s="14" t="str">
        <f t="shared" si="10"/>
        <v/>
      </c>
      <c r="C131" s="4" t="str">
        <f t="shared" si="12"/>
        <v/>
      </c>
      <c r="D131" s="5" t="str">
        <f t="shared" si="13"/>
        <v/>
      </c>
      <c r="E131" s="7" t="str">
        <f>IF(COUNT(B131)=1,SUM($H$10:$H131),"")</f>
        <v/>
      </c>
      <c r="F131" s="6" t="str">
        <f t="shared" si="14"/>
        <v/>
      </c>
      <c r="G131" s="15" t="str">
        <f t="shared" si="15"/>
        <v/>
      </c>
      <c r="H131" s="13" t="e">
        <f t="shared" si="11"/>
        <v>#VALUE!</v>
      </c>
      <c r="I131" s="8"/>
    </row>
    <row r="132" spans="2:18" x14ac:dyDescent="0.25">
      <c r="B132" s="14" t="str">
        <f t="shared" si="10"/>
        <v/>
      </c>
      <c r="C132" s="4" t="str">
        <f t="shared" si="12"/>
        <v/>
      </c>
      <c r="D132" s="5" t="str">
        <f t="shared" si="13"/>
        <v/>
      </c>
      <c r="E132" s="7" t="str">
        <f>IF(COUNT(B132)=1,SUM($H$10:$H132),"")</f>
        <v/>
      </c>
      <c r="F132" s="6" t="str">
        <f t="shared" si="14"/>
        <v/>
      </c>
      <c r="G132" s="15" t="str">
        <f t="shared" si="15"/>
        <v/>
      </c>
      <c r="H132" s="13" t="e">
        <f t="shared" si="11"/>
        <v>#VALUE!</v>
      </c>
      <c r="I132" s="8"/>
    </row>
    <row r="133" spans="2:18" x14ac:dyDescent="0.25">
      <c r="B133" s="14" t="str">
        <f t="shared" si="10"/>
        <v/>
      </c>
      <c r="C133" s="4" t="str">
        <f t="shared" si="12"/>
        <v/>
      </c>
      <c r="D133" s="5" t="str">
        <f t="shared" si="13"/>
        <v/>
      </c>
      <c r="E133" s="7" t="str">
        <f>IF(COUNT(B133)=1,SUM($H$10:$H133),"")</f>
        <v/>
      </c>
      <c r="F133" s="6" t="str">
        <f t="shared" si="14"/>
        <v/>
      </c>
      <c r="G133" s="15" t="str">
        <f t="shared" si="15"/>
        <v/>
      </c>
      <c r="H133" s="13" t="e">
        <f t="shared" si="11"/>
        <v>#VALUE!</v>
      </c>
      <c r="I133" s="8"/>
    </row>
    <row r="134" spans="2:18" x14ac:dyDescent="0.25">
      <c r="B134" s="14" t="str">
        <f t="shared" si="10"/>
        <v/>
      </c>
      <c r="C134" s="4" t="str">
        <f t="shared" si="12"/>
        <v/>
      </c>
      <c r="D134" s="5" t="str">
        <f t="shared" si="13"/>
        <v/>
      </c>
      <c r="E134" s="7" t="str">
        <f>IF(COUNT(B134)=1,SUM($H$10:$H134),"")</f>
        <v/>
      </c>
      <c r="F134" s="6" t="str">
        <f t="shared" si="14"/>
        <v/>
      </c>
      <c r="G134" s="15" t="str">
        <f t="shared" si="15"/>
        <v/>
      </c>
      <c r="H134" s="13" t="e">
        <f t="shared" si="11"/>
        <v>#VALUE!</v>
      </c>
      <c r="I134" s="8"/>
    </row>
    <row r="135" spans="2:18" x14ac:dyDescent="0.25">
      <c r="B135" s="14" t="str">
        <f t="shared" si="10"/>
        <v/>
      </c>
      <c r="C135" s="4" t="str">
        <f t="shared" si="12"/>
        <v/>
      </c>
      <c r="D135" s="5" t="str">
        <f t="shared" si="13"/>
        <v/>
      </c>
      <c r="E135" s="7" t="str">
        <f>IF(COUNT(B135)=1,SUM($H$10:$H135),"")</f>
        <v/>
      </c>
      <c r="F135" s="6" t="str">
        <f t="shared" si="14"/>
        <v/>
      </c>
      <c r="G135" s="15" t="str">
        <f t="shared" si="15"/>
        <v/>
      </c>
      <c r="H135" s="13" t="e">
        <f t="shared" si="11"/>
        <v>#VALUE!</v>
      </c>
      <c r="I135" s="8"/>
    </row>
    <row r="136" spans="2:18" x14ac:dyDescent="0.25">
      <c r="B136" s="14" t="str">
        <f t="shared" si="10"/>
        <v/>
      </c>
      <c r="C136" s="4" t="str">
        <f t="shared" si="12"/>
        <v/>
      </c>
      <c r="D136" s="5" t="str">
        <f t="shared" si="13"/>
        <v/>
      </c>
      <c r="E136" s="7" t="str">
        <f>IF(COUNT(B136)=1,SUM($H$10:$H136),"")</f>
        <v/>
      </c>
      <c r="F136" s="6" t="str">
        <f t="shared" si="14"/>
        <v/>
      </c>
      <c r="G136" s="15" t="str">
        <f t="shared" si="15"/>
        <v/>
      </c>
      <c r="H136" s="13" t="e">
        <f t="shared" si="11"/>
        <v>#VALUE!</v>
      </c>
      <c r="I136" s="8"/>
    </row>
    <row r="137" spans="2:18" x14ac:dyDescent="0.25">
      <c r="B137" s="14" t="str">
        <f t="shared" si="10"/>
        <v/>
      </c>
      <c r="C137" s="4" t="str">
        <f t="shared" si="12"/>
        <v/>
      </c>
      <c r="D137" s="5" t="str">
        <f t="shared" si="13"/>
        <v/>
      </c>
      <c r="E137" s="7" t="str">
        <f>IF(COUNT(B137)=1,SUM($H$10:$H137),"")</f>
        <v/>
      </c>
      <c r="F137" s="6" t="str">
        <f t="shared" si="14"/>
        <v/>
      </c>
      <c r="G137" s="15" t="str">
        <f t="shared" si="15"/>
        <v/>
      </c>
      <c r="H137" s="13" t="e">
        <f t="shared" si="11"/>
        <v>#VALUE!</v>
      </c>
      <c r="I137" s="8"/>
    </row>
    <row r="138" spans="2:18" x14ac:dyDescent="0.25">
      <c r="B138" s="14" t="str">
        <f t="shared" si="10"/>
        <v/>
      </c>
      <c r="C138" s="4" t="str">
        <f t="shared" si="12"/>
        <v/>
      </c>
      <c r="D138" s="5" t="str">
        <f t="shared" si="13"/>
        <v/>
      </c>
      <c r="E138" s="7" t="str">
        <f>IF(COUNT(B138)=1,SUM($H$10:$H138),"")</f>
        <v/>
      </c>
      <c r="F138" s="6" t="str">
        <f t="shared" si="14"/>
        <v/>
      </c>
      <c r="G138" s="15" t="str">
        <f t="shared" si="15"/>
        <v/>
      </c>
      <c r="H138" s="13" t="e">
        <f t="shared" si="11"/>
        <v>#VALUE!</v>
      </c>
      <c r="I138" s="8"/>
    </row>
    <row r="139" spans="2:18" x14ac:dyDescent="0.25">
      <c r="B139" s="14" t="str">
        <f t="shared" ref="B139:B202" si="16">IF($G$5&gt;B138,B138+1,"")</f>
        <v/>
      </c>
      <c r="C139" s="4" t="str">
        <f t="shared" si="12"/>
        <v/>
      </c>
      <c r="D139" s="5" t="str">
        <f t="shared" si="13"/>
        <v/>
      </c>
      <c r="E139" s="7" t="str">
        <f>IF(COUNT(B139)=1,SUM($H$10:$H139),"")</f>
        <v/>
      </c>
      <c r="F139" s="6" t="str">
        <f t="shared" si="14"/>
        <v/>
      </c>
      <c r="G139" s="15" t="str">
        <f t="shared" si="15"/>
        <v/>
      </c>
      <c r="H139" s="13" t="e">
        <f t="shared" ref="H139:H202" si="17">INT($E$5/12*($E$4*B139+$E$3))</f>
        <v>#VALUE!</v>
      </c>
      <c r="I139" s="8"/>
    </row>
    <row r="140" spans="2:18" x14ac:dyDescent="0.25">
      <c r="B140" s="14" t="str">
        <f t="shared" si="16"/>
        <v/>
      </c>
      <c r="C140" s="4" t="str">
        <f t="shared" si="12"/>
        <v/>
      </c>
      <c r="D140" s="5" t="str">
        <f t="shared" si="13"/>
        <v/>
      </c>
      <c r="E140" s="7" t="str">
        <f>IF(COUNT(B140)=1,SUM($H$10:$H140),"")</f>
        <v/>
      </c>
      <c r="F140" s="6" t="str">
        <f t="shared" si="14"/>
        <v/>
      </c>
      <c r="G140" s="15" t="str">
        <f t="shared" si="15"/>
        <v/>
      </c>
      <c r="H140" s="13" t="e">
        <f t="shared" si="17"/>
        <v>#VALUE!</v>
      </c>
      <c r="I140" s="8"/>
    </row>
    <row r="141" spans="2:18" ht="15.75" thickBot="1" x14ac:dyDescent="0.3">
      <c r="B141" s="34" t="str">
        <f t="shared" si="16"/>
        <v/>
      </c>
      <c r="C141" s="35" t="str">
        <f t="shared" si="12"/>
        <v/>
      </c>
      <c r="D141" s="36" t="str">
        <f t="shared" si="13"/>
        <v/>
      </c>
      <c r="E141" s="37" t="str">
        <f>IF(COUNT(B141)=1,SUM($H$10:$H141),"")</f>
        <v/>
      </c>
      <c r="F141" s="38" t="str">
        <f t="shared" si="14"/>
        <v/>
      </c>
      <c r="G141" s="39" t="str">
        <f t="shared" si="15"/>
        <v/>
      </c>
      <c r="H141" s="13" t="e">
        <f t="shared" si="17"/>
        <v>#VALUE!</v>
      </c>
      <c r="I141" s="8"/>
    </row>
    <row r="142" spans="2:18" x14ac:dyDescent="0.25">
      <c r="B142" s="22" t="str">
        <f t="shared" si="16"/>
        <v/>
      </c>
      <c r="C142" s="23" t="str">
        <f t="shared" si="12"/>
        <v/>
      </c>
      <c r="D142" s="24" t="str">
        <f t="shared" si="13"/>
        <v/>
      </c>
      <c r="E142" s="25" t="str">
        <f>IF(COUNT(B142)=1,SUM($H$10:$H142),"")</f>
        <v/>
      </c>
      <c r="F142" s="26" t="str">
        <f t="shared" si="14"/>
        <v/>
      </c>
      <c r="G142" s="27" t="str">
        <f t="shared" si="15"/>
        <v/>
      </c>
      <c r="H142" s="13" t="e">
        <f t="shared" si="17"/>
        <v>#VALUE!</v>
      </c>
      <c r="I142" s="8"/>
    </row>
    <row r="143" spans="2:18" x14ac:dyDescent="0.25">
      <c r="B143" s="14" t="str">
        <f t="shared" si="16"/>
        <v/>
      </c>
      <c r="C143" s="4" t="str">
        <f t="shared" si="12"/>
        <v/>
      </c>
      <c r="D143" s="5" t="str">
        <f t="shared" si="13"/>
        <v/>
      </c>
      <c r="E143" s="7" t="str">
        <f>IF(COUNT(B143)=1,SUM($H$10:$H143),"")</f>
        <v/>
      </c>
      <c r="F143" s="6" t="str">
        <f t="shared" si="14"/>
        <v/>
      </c>
      <c r="G143" s="15" t="str">
        <f t="shared" si="15"/>
        <v/>
      </c>
      <c r="H143" s="13" t="e">
        <f t="shared" si="17"/>
        <v>#VALUE!</v>
      </c>
      <c r="I143" s="8"/>
    </row>
    <row r="144" spans="2:18" x14ac:dyDescent="0.25">
      <c r="B144" s="14" t="str">
        <f t="shared" si="16"/>
        <v/>
      </c>
      <c r="C144" s="4" t="str">
        <f t="shared" si="12"/>
        <v/>
      </c>
      <c r="D144" s="5" t="str">
        <f t="shared" si="13"/>
        <v/>
      </c>
      <c r="E144" s="7" t="str">
        <f>IF(COUNT(B144)=1,SUM($H$10:$H144),"")</f>
        <v/>
      </c>
      <c r="F144" s="6" t="str">
        <f t="shared" si="14"/>
        <v/>
      </c>
      <c r="G144" s="15" t="str">
        <f t="shared" si="15"/>
        <v/>
      </c>
      <c r="H144" s="13" t="e">
        <f t="shared" si="17"/>
        <v>#VALUE!</v>
      </c>
      <c r="I144" s="8"/>
    </row>
    <row r="145" spans="2:9" x14ac:dyDescent="0.25">
      <c r="B145" s="14" t="str">
        <f t="shared" si="16"/>
        <v/>
      </c>
      <c r="C145" s="4" t="str">
        <f t="shared" si="12"/>
        <v/>
      </c>
      <c r="D145" s="5" t="str">
        <f t="shared" si="13"/>
        <v/>
      </c>
      <c r="E145" s="7" t="str">
        <f>IF(COUNT(B145)=1,SUM($H$10:$H145),"")</f>
        <v/>
      </c>
      <c r="F145" s="6" t="str">
        <f t="shared" si="14"/>
        <v/>
      </c>
      <c r="G145" s="15" t="str">
        <f t="shared" si="15"/>
        <v/>
      </c>
      <c r="H145" s="13" t="e">
        <f t="shared" si="17"/>
        <v>#VALUE!</v>
      </c>
      <c r="I145" s="8"/>
    </row>
    <row r="146" spans="2:9" x14ac:dyDescent="0.25">
      <c r="B146" s="14" t="str">
        <f t="shared" si="16"/>
        <v/>
      </c>
      <c r="C146" s="4" t="str">
        <f t="shared" si="12"/>
        <v/>
      </c>
      <c r="D146" s="5" t="str">
        <f t="shared" si="13"/>
        <v/>
      </c>
      <c r="E146" s="7" t="str">
        <f>IF(COUNT(B146)=1,SUM($H$10:$H146),"")</f>
        <v/>
      </c>
      <c r="F146" s="6" t="str">
        <f t="shared" si="14"/>
        <v/>
      </c>
      <c r="G146" s="15" t="str">
        <f t="shared" si="15"/>
        <v/>
      </c>
      <c r="H146" s="13" t="e">
        <f t="shared" si="17"/>
        <v>#VALUE!</v>
      </c>
      <c r="I146" s="8"/>
    </row>
    <row r="147" spans="2:9" x14ac:dyDescent="0.25">
      <c r="B147" s="14" t="str">
        <f t="shared" si="16"/>
        <v/>
      </c>
      <c r="C147" s="4" t="str">
        <f t="shared" si="12"/>
        <v/>
      </c>
      <c r="D147" s="5" t="str">
        <f t="shared" si="13"/>
        <v/>
      </c>
      <c r="E147" s="7" t="str">
        <f>IF(COUNT(B147)=1,SUM($H$10:$H147),"")</f>
        <v/>
      </c>
      <c r="F147" s="6" t="str">
        <f t="shared" si="14"/>
        <v/>
      </c>
      <c r="G147" s="15" t="str">
        <f t="shared" si="15"/>
        <v/>
      </c>
      <c r="H147" s="13" t="e">
        <f t="shared" si="17"/>
        <v>#VALUE!</v>
      </c>
      <c r="I147" s="8"/>
    </row>
    <row r="148" spans="2:9" x14ac:dyDescent="0.25">
      <c r="B148" s="14" t="str">
        <f t="shared" si="16"/>
        <v/>
      </c>
      <c r="C148" s="4" t="str">
        <f t="shared" si="12"/>
        <v/>
      </c>
      <c r="D148" s="5" t="str">
        <f t="shared" si="13"/>
        <v/>
      </c>
      <c r="E148" s="7" t="str">
        <f>IF(COUNT(B148)=1,SUM($H$10:$H148),"")</f>
        <v/>
      </c>
      <c r="F148" s="6" t="str">
        <f t="shared" si="14"/>
        <v/>
      </c>
      <c r="G148" s="15" t="str">
        <f t="shared" si="15"/>
        <v/>
      </c>
      <c r="H148" s="13" t="e">
        <f t="shared" si="17"/>
        <v>#VALUE!</v>
      </c>
      <c r="I148" s="8"/>
    </row>
    <row r="149" spans="2:9" x14ac:dyDescent="0.25">
      <c r="B149" s="14" t="str">
        <f t="shared" si="16"/>
        <v/>
      </c>
      <c r="C149" s="4" t="str">
        <f t="shared" si="12"/>
        <v/>
      </c>
      <c r="D149" s="5" t="str">
        <f t="shared" si="13"/>
        <v/>
      </c>
      <c r="E149" s="7" t="str">
        <f>IF(COUNT(B149)=1,SUM($H$10:$H149),"")</f>
        <v/>
      </c>
      <c r="F149" s="6" t="str">
        <f t="shared" si="14"/>
        <v/>
      </c>
      <c r="G149" s="15" t="str">
        <f t="shared" si="15"/>
        <v/>
      </c>
      <c r="H149" s="13" t="e">
        <f t="shared" si="17"/>
        <v>#VALUE!</v>
      </c>
      <c r="I149" s="8"/>
    </row>
    <row r="150" spans="2:9" x14ac:dyDescent="0.25">
      <c r="B150" s="14" t="str">
        <f t="shared" si="16"/>
        <v/>
      </c>
      <c r="C150" s="4" t="str">
        <f t="shared" si="12"/>
        <v/>
      </c>
      <c r="D150" s="5" t="str">
        <f t="shared" si="13"/>
        <v/>
      </c>
      <c r="E150" s="7" t="str">
        <f>IF(COUNT(B150)=1,SUM($H$10:$H150),"")</f>
        <v/>
      </c>
      <c r="F150" s="6" t="str">
        <f t="shared" si="14"/>
        <v/>
      </c>
      <c r="G150" s="15" t="str">
        <f t="shared" si="15"/>
        <v/>
      </c>
      <c r="H150" s="13" t="e">
        <f t="shared" si="17"/>
        <v>#VALUE!</v>
      </c>
      <c r="I150" s="8"/>
    </row>
    <row r="151" spans="2:9" x14ac:dyDescent="0.25">
      <c r="B151" s="14" t="str">
        <f t="shared" si="16"/>
        <v/>
      </c>
      <c r="C151" s="4" t="str">
        <f t="shared" si="12"/>
        <v/>
      </c>
      <c r="D151" s="5" t="str">
        <f t="shared" si="13"/>
        <v/>
      </c>
      <c r="E151" s="7" t="str">
        <f>IF(COUNT(B151)=1,SUM($H$10:$H151),"")</f>
        <v/>
      </c>
      <c r="F151" s="6" t="str">
        <f t="shared" si="14"/>
        <v/>
      </c>
      <c r="G151" s="15" t="str">
        <f t="shared" si="15"/>
        <v/>
      </c>
      <c r="H151" s="13" t="e">
        <f t="shared" si="17"/>
        <v>#VALUE!</v>
      </c>
      <c r="I151" s="8"/>
    </row>
    <row r="152" spans="2:9" x14ac:dyDescent="0.25">
      <c r="B152" s="14" t="str">
        <f t="shared" si="16"/>
        <v/>
      </c>
      <c r="C152" s="4" t="str">
        <f t="shared" si="12"/>
        <v/>
      </c>
      <c r="D152" s="5" t="str">
        <f t="shared" si="13"/>
        <v/>
      </c>
      <c r="E152" s="7" t="str">
        <f>IF(COUNT(B152)=1,SUM($H$10:$H152),"")</f>
        <v/>
      </c>
      <c r="F152" s="6" t="str">
        <f t="shared" si="14"/>
        <v/>
      </c>
      <c r="G152" s="15" t="str">
        <f t="shared" si="15"/>
        <v/>
      </c>
      <c r="H152" s="13" t="e">
        <f t="shared" si="17"/>
        <v>#VALUE!</v>
      </c>
      <c r="I152" s="8"/>
    </row>
    <row r="153" spans="2:9" ht="15.75" thickBot="1" x14ac:dyDescent="0.3">
      <c r="B153" s="34" t="str">
        <f t="shared" si="16"/>
        <v/>
      </c>
      <c r="C153" s="35" t="str">
        <f t="shared" si="12"/>
        <v/>
      </c>
      <c r="D153" s="36" t="str">
        <f t="shared" si="13"/>
        <v/>
      </c>
      <c r="E153" s="37" t="str">
        <f>IF(COUNT(B153)=1,SUM($H$10:$H153),"")</f>
        <v/>
      </c>
      <c r="F153" s="38" t="str">
        <f t="shared" si="14"/>
        <v/>
      </c>
      <c r="G153" s="39" t="str">
        <f t="shared" si="15"/>
        <v/>
      </c>
      <c r="H153" s="13" t="e">
        <f t="shared" si="17"/>
        <v>#VALUE!</v>
      </c>
      <c r="I153" s="8"/>
    </row>
    <row r="154" spans="2:9" x14ac:dyDescent="0.25">
      <c r="B154" s="14" t="str">
        <f t="shared" si="16"/>
        <v/>
      </c>
      <c r="C154" s="23" t="str">
        <f t="shared" si="12"/>
        <v/>
      </c>
      <c r="D154" s="24" t="str">
        <f t="shared" si="13"/>
        <v/>
      </c>
      <c r="E154" s="25" t="str">
        <f>IF(COUNT(B154)=1,SUM($H$10:$H154),"")</f>
        <v/>
      </c>
      <c r="F154" s="26" t="str">
        <f t="shared" si="14"/>
        <v/>
      </c>
      <c r="G154" s="27" t="str">
        <f t="shared" si="15"/>
        <v/>
      </c>
      <c r="H154" s="13" t="e">
        <f t="shared" si="17"/>
        <v>#VALUE!</v>
      </c>
      <c r="I154" s="8"/>
    </row>
    <row r="155" spans="2:9" x14ac:dyDescent="0.25">
      <c r="B155" s="14" t="str">
        <f t="shared" si="16"/>
        <v/>
      </c>
      <c r="C155" s="4" t="str">
        <f t="shared" si="12"/>
        <v/>
      </c>
      <c r="D155" s="5" t="str">
        <f t="shared" si="13"/>
        <v/>
      </c>
      <c r="E155" s="7" t="str">
        <f>IF(COUNT(B155)=1,SUM($H$10:$H155),"")</f>
        <v/>
      </c>
      <c r="F155" s="6" t="str">
        <f t="shared" si="14"/>
        <v/>
      </c>
      <c r="G155" s="15" t="str">
        <f t="shared" si="15"/>
        <v/>
      </c>
      <c r="H155" s="13" t="e">
        <f t="shared" si="17"/>
        <v>#VALUE!</v>
      </c>
      <c r="I155" s="8"/>
    </row>
    <row r="156" spans="2:9" x14ac:dyDescent="0.25">
      <c r="B156" s="14" t="str">
        <f t="shared" si="16"/>
        <v/>
      </c>
      <c r="C156" s="4" t="str">
        <f t="shared" si="12"/>
        <v/>
      </c>
      <c r="D156" s="5" t="str">
        <f t="shared" si="13"/>
        <v/>
      </c>
      <c r="E156" s="7" t="str">
        <f>IF(COUNT(B156)=1,SUM($H$10:$H156),"")</f>
        <v/>
      </c>
      <c r="F156" s="6" t="str">
        <f t="shared" si="14"/>
        <v/>
      </c>
      <c r="G156" s="15" t="str">
        <f t="shared" si="15"/>
        <v/>
      </c>
      <c r="H156" s="13" t="e">
        <f t="shared" si="17"/>
        <v>#VALUE!</v>
      </c>
      <c r="I156" s="8"/>
    </row>
    <row r="157" spans="2:9" x14ac:dyDescent="0.25">
      <c r="B157" s="14" t="str">
        <f t="shared" si="16"/>
        <v/>
      </c>
      <c r="C157" s="4" t="str">
        <f t="shared" si="12"/>
        <v/>
      </c>
      <c r="D157" s="5" t="str">
        <f t="shared" si="13"/>
        <v/>
      </c>
      <c r="E157" s="7" t="str">
        <f>IF(COUNT(B157)=1,SUM($H$10:$H157),"")</f>
        <v/>
      </c>
      <c r="F157" s="6" t="str">
        <f t="shared" si="14"/>
        <v/>
      </c>
      <c r="G157" s="15" t="str">
        <f t="shared" si="15"/>
        <v/>
      </c>
      <c r="H157" s="13" t="e">
        <f t="shared" si="17"/>
        <v>#VALUE!</v>
      </c>
      <c r="I157" s="8"/>
    </row>
    <row r="158" spans="2:9" x14ac:dyDescent="0.25">
      <c r="B158" s="14" t="str">
        <f t="shared" si="16"/>
        <v/>
      </c>
      <c r="C158" s="4" t="str">
        <f t="shared" si="12"/>
        <v/>
      </c>
      <c r="D158" s="5" t="str">
        <f t="shared" si="13"/>
        <v/>
      </c>
      <c r="E158" s="7" t="str">
        <f>IF(COUNT(B158)=1,SUM($H$10:$H158),"")</f>
        <v/>
      </c>
      <c r="F158" s="6" t="str">
        <f t="shared" si="14"/>
        <v/>
      </c>
      <c r="G158" s="15" t="str">
        <f t="shared" si="15"/>
        <v/>
      </c>
      <c r="H158" s="13" t="e">
        <f t="shared" si="17"/>
        <v>#VALUE!</v>
      </c>
      <c r="I158" s="8"/>
    </row>
    <row r="159" spans="2:9" x14ac:dyDescent="0.25">
      <c r="B159" s="14" t="str">
        <f t="shared" si="16"/>
        <v/>
      </c>
      <c r="C159" s="4" t="str">
        <f t="shared" si="12"/>
        <v/>
      </c>
      <c r="D159" s="5" t="str">
        <f t="shared" si="13"/>
        <v/>
      </c>
      <c r="E159" s="7" t="str">
        <f>IF(COUNT(B159)=1,SUM($H$10:$H159),"")</f>
        <v/>
      </c>
      <c r="F159" s="6" t="str">
        <f t="shared" si="14"/>
        <v/>
      </c>
      <c r="G159" s="15" t="str">
        <f t="shared" si="15"/>
        <v/>
      </c>
      <c r="H159" s="13" t="e">
        <f t="shared" si="17"/>
        <v>#VALUE!</v>
      </c>
      <c r="I159" s="8"/>
    </row>
    <row r="160" spans="2:9" x14ac:dyDescent="0.25">
      <c r="B160" s="14" t="str">
        <f t="shared" si="16"/>
        <v/>
      </c>
      <c r="C160" s="4" t="str">
        <f t="shared" si="12"/>
        <v/>
      </c>
      <c r="D160" s="5" t="str">
        <f t="shared" si="13"/>
        <v/>
      </c>
      <c r="E160" s="7" t="str">
        <f>IF(COUNT(B160)=1,SUM($H$10:$H160),"")</f>
        <v/>
      </c>
      <c r="F160" s="6" t="str">
        <f t="shared" si="14"/>
        <v/>
      </c>
      <c r="G160" s="15" t="str">
        <f t="shared" si="15"/>
        <v/>
      </c>
      <c r="H160" s="13" t="e">
        <f t="shared" si="17"/>
        <v>#VALUE!</v>
      </c>
      <c r="I160" s="8"/>
    </row>
    <row r="161" spans="2:9" x14ac:dyDescent="0.25">
      <c r="B161" s="14" t="str">
        <f t="shared" si="16"/>
        <v/>
      </c>
      <c r="C161" s="4" t="str">
        <f t="shared" si="12"/>
        <v/>
      </c>
      <c r="D161" s="5" t="str">
        <f t="shared" si="13"/>
        <v/>
      </c>
      <c r="E161" s="7" t="str">
        <f>IF(COUNT(B161)=1,SUM($H$10:$H161),"")</f>
        <v/>
      </c>
      <c r="F161" s="6" t="str">
        <f t="shared" si="14"/>
        <v/>
      </c>
      <c r="G161" s="15" t="str">
        <f t="shared" si="15"/>
        <v/>
      </c>
      <c r="H161" s="13" t="e">
        <f t="shared" si="17"/>
        <v>#VALUE!</v>
      </c>
      <c r="I161" s="8"/>
    </row>
    <row r="162" spans="2:9" x14ac:dyDescent="0.25">
      <c r="B162" s="14" t="str">
        <f t="shared" si="16"/>
        <v/>
      </c>
      <c r="C162" s="4" t="str">
        <f t="shared" si="12"/>
        <v/>
      </c>
      <c r="D162" s="5" t="str">
        <f t="shared" si="13"/>
        <v/>
      </c>
      <c r="E162" s="7" t="str">
        <f>IF(COUNT(B162)=1,SUM($H$10:$H162),"")</f>
        <v/>
      </c>
      <c r="F162" s="6" t="str">
        <f t="shared" si="14"/>
        <v/>
      </c>
      <c r="G162" s="15" t="str">
        <f t="shared" si="15"/>
        <v/>
      </c>
      <c r="H162" s="13" t="e">
        <f t="shared" si="17"/>
        <v>#VALUE!</v>
      </c>
      <c r="I162" s="8"/>
    </row>
    <row r="163" spans="2:9" x14ac:dyDescent="0.25">
      <c r="B163" s="14" t="str">
        <f t="shared" si="16"/>
        <v/>
      </c>
      <c r="C163" s="4" t="str">
        <f t="shared" si="12"/>
        <v/>
      </c>
      <c r="D163" s="5" t="str">
        <f t="shared" si="13"/>
        <v/>
      </c>
      <c r="E163" s="7" t="str">
        <f>IF(COUNT(B163)=1,SUM($H$10:$H163),"")</f>
        <v/>
      </c>
      <c r="F163" s="6" t="str">
        <f t="shared" si="14"/>
        <v/>
      </c>
      <c r="G163" s="15" t="str">
        <f t="shared" si="15"/>
        <v/>
      </c>
      <c r="H163" s="13" t="e">
        <f t="shared" si="17"/>
        <v>#VALUE!</v>
      </c>
      <c r="I163" s="8"/>
    </row>
    <row r="164" spans="2:9" x14ac:dyDescent="0.25">
      <c r="B164" s="14" t="str">
        <f t="shared" si="16"/>
        <v/>
      </c>
      <c r="C164" s="4" t="str">
        <f t="shared" si="12"/>
        <v/>
      </c>
      <c r="D164" s="5" t="str">
        <f t="shared" si="13"/>
        <v/>
      </c>
      <c r="E164" s="7" t="str">
        <f>IF(COUNT(B164)=1,SUM($H$10:$H164),"")</f>
        <v/>
      </c>
      <c r="F164" s="6" t="str">
        <f t="shared" si="14"/>
        <v/>
      </c>
      <c r="G164" s="15" t="str">
        <f t="shared" si="15"/>
        <v/>
      </c>
      <c r="H164" s="13" t="e">
        <f t="shared" si="17"/>
        <v>#VALUE!</v>
      </c>
      <c r="I164" s="8"/>
    </row>
    <row r="165" spans="2:9" ht="15.75" thickBot="1" x14ac:dyDescent="0.3">
      <c r="B165" s="34" t="str">
        <f t="shared" si="16"/>
        <v/>
      </c>
      <c r="C165" s="35" t="str">
        <f t="shared" si="12"/>
        <v/>
      </c>
      <c r="D165" s="36" t="str">
        <f t="shared" si="13"/>
        <v/>
      </c>
      <c r="E165" s="37" t="str">
        <f>IF(COUNT(B165)=1,SUM($H$10:$H165),"")</f>
        <v/>
      </c>
      <c r="F165" s="38" t="str">
        <f t="shared" si="14"/>
        <v/>
      </c>
      <c r="G165" s="39" t="str">
        <f t="shared" si="15"/>
        <v/>
      </c>
      <c r="H165" s="13" t="e">
        <f t="shared" si="17"/>
        <v>#VALUE!</v>
      </c>
      <c r="I165" s="8"/>
    </row>
    <row r="166" spans="2:9" x14ac:dyDescent="0.25">
      <c r="B166" s="22" t="str">
        <f t="shared" si="16"/>
        <v/>
      </c>
      <c r="C166" s="23" t="str">
        <f t="shared" si="12"/>
        <v/>
      </c>
      <c r="D166" s="24" t="str">
        <f t="shared" si="13"/>
        <v/>
      </c>
      <c r="E166" s="25" t="str">
        <f>IF(COUNT(B166)=1,SUM($H$10:$H166),"")</f>
        <v/>
      </c>
      <c r="F166" s="26" t="str">
        <f t="shared" si="14"/>
        <v/>
      </c>
      <c r="G166" s="27" t="str">
        <f t="shared" si="15"/>
        <v/>
      </c>
      <c r="H166" s="13" t="e">
        <f t="shared" si="17"/>
        <v>#VALUE!</v>
      </c>
      <c r="I166" s="8"/>
    </row>
    <row r="167" spans="2:9" x14ac:dyDescent="0.25">
      <c r="B167" s="14" t="str">
        <f t="shared" si="16"/>
        <v/>
      </c>
      <c r="C167" s="4" t="str">
        <f t="shared" si="12"/>
        <v/>
      </c>
      <c r="D167" s="5" t="str">
        <f t="shared" si="13"/>
        <v/>
      </c>
      <c r="E167" s="7" t="str">
        <f>IF(COUNT(B167)=1,SUM($H$10:$H167),"")</f>
        <v/>
      </c>
      <c r="F167" s="6" t="str">
        <f t="shared" si="14"/>
        <v/>
      </c>
      <c r="G167" s="15" t="str">
        <f t="shared" si="15"/>
        <v/>
      </c>
      <c r="H167" s="13" t="e">
        <f t="shared" si="17"/>
        <v>#VALUE!</v>
      </c>
      <c r="I167" s="8"/>
    </row>
    <row r="168" spans="2:9" x14ac:dyDescent="0.25">
      <c r="B168" s="14" t="str">
        <f t="shared" si="16"/>
        <v/>
      </c>
      <c r="C168" s="4" t="str">
        <f t="shared" si="12"/>
        <v/>
      </c>
      <c r="D168" s="5" t="str">
        <f t="shared" si="13"/>
        <v/>
      </c>
      <c r="E168" s="7" t="str">
        <f>IF(COUNT(B168)=1,SUM($H$10:$H168),"")</f>
        <v/>
      </c>
      <c r="F168" s="6" t="str">
        <f t="shared" si="14"/>
        <v/>
      </c>
      <c r="G168" s="15" t="str">
        <f t="shared" si="15"/>
        <v/>
      </c>
      <c r="H168" s="13" t="e">
        <f t="shared" si="17"/>
        <v>#VALUE!</v>
      </c>
      <c r="I168" s="8"/>
    </row>
    <row r="169" spans="2:9" x14ac:dyDescent="0.25">
      <c r="B169" s="14" t="str">
        <f t="shared" si="16"/>
        <v/>
      </c>
      <c r="C169" s="4" t="str">
        <f t="shared" si="12"/>
        <v/>
      </c>
      <c r="D169" s="5" t="str">
        <f t="shared" si="13"/>
        <v/>
      </c>
      <c r="E169" s="7" t="str">
        <f>IF(COUNT(B169)=1,SUM($H$10:$H169),"")</f>
        <v/>
      </c>
      <c r="F169" s="6" t="str">
        <f t="shared" si="14"/>
        <v/>
      </c>
      <c r="G169" s="15" t="str">
        <f t="shared" si="15"/>
        <v/>
      </c>
      <c r="H169" s="13" t="e">
        <f t="shared" si="17"/>
        <v>#VALUE!</v>
      </c>
      <c r="I169" s="8"/>
    </row>
    <row r="170" spans="2:9" x14ac:dyDescent="0.25">
      <c r="B170" s="14" t="str">
        <f t="shared" si="16"/>
        <v/>
      </c>
      <c r="C170" s="4" t="str">
        <f t="shared" si="12"/>
        <v/>
      </c>
      <c r="D170" s="5" t="str">
        <f t="shared" si="13"/>
        <v/>
      </c>
      <c r="E170" s="7" t="str">
        <f>IF(COUNT(B170)=1,SUM($H$10:$H170),"")</f>
        <v/>
      </c>
      <c r="F170" s="6" t="str">
        <f t="shared" si="14"/>
        <v/>
      </c>
      <c r="G170" s="15" t="str">
        <f t="shared" si="15"/>
        <v/>
      </c>
      <c r="H170" s="13" t="e">
        <f t="shared" si="17"/>
        <v>#VALUE!</v>
      </c>
      <c r="I170" s="8"/>
    </row>
    <row r="171" spans="2:9" x14ac:dyDescent="0.25">
      <c r="B171" s="14" t="str">
        <f t="shared" si="16"/>
        <v/>
      </c>
      <c r="C171" s="4" t="str">
        <f t="shared" si="12"/>
        <v/>
      </c>
      <c r="D171" s="5" t="str">
        <f t="shared" si="13"/>
        <v/>
      </c>
      <c r="E171" s="7" t="str">
        <f>IF(COUNT(B171)=1,SUM($H$10:$H171),"")</f>
        <v/>
      </c>
      <c r="F171" s="6" t="str">
        <f t="shared" si="14"/>
        <v/>
      </c>
      <c r="G171" s="15" t="str">
        <f t="shared" si="15"/>
        <v/>
      </c>
      <c r="H171" s="13" t="e">
        <f t="shared" si="17"/>
        <v>#VALUE!</v>
      </c>
      <c r="I171" s="8"/>
    </row>
    <row r="172" spans="2:9" x14ac:dyDescent="0.25">
      <c r="B172" s="14" t="str">
        <f t="shared" si="16"/>
        <v/>
      </c>
      <c r="C172" s="4" t="str">
        <f t="shared" si="12"/>
        <v/>
      </c>
      <c r="D172" s="5" t="str">
        <f t="shared" si="13"/>
        <v/>
      </c>
      <c r="E172" s="7" t="str">
        <f>IF(COUNT(B172)=1,SUM($H$10:$H172),"")</f>
        <v/>
      </c>
      <c r="F172" s="6" t="str">
        <f t="shared" si="14"/>
        <v/>
      </c>
      <c r="G172" s="15" t="str">
        <f t="shared" si="15"/>
        <v/>
      </c>
      <c r="H172" s="13" t="e">
        <f t="shared" si="17"/>
        <v>#VALUE!</v>
      </c>
      <c r="I172" s="8"/>
    </row>
    <row r="173" spans="2:9" x14ac:dyDescent="0.25">
      <c r="B173" s="14" t="str">
        <f t="shared" si="16"/>
        <v/>
      </c>
      <c r="C173" s="4" t="str">
        <f t="shared" si="12"/>
        <v/>
      </c>
      <c r="D173" s="5" t="str">
        <f t="shared" si="13"/>
        <v/>
      </c>
      <c r="E173" s="7" t="str">
        <f>IF(COUNT(B173)=1,SUM($H$10:$H173),"")</f>
        <v/>
      </c>
      <c r="F173" s="6" t="str">
        <f t="shared" si="14"/>
        <v/>
      </c>
      <c r="G173" s="15" t="str">
        <f t="shared" si="15"/>
        <v/>
      </c>
      <c r="H173" s="13" t="e">
        <f t="shared" si="17"/>
        <v>#VALUE!</v>
      </c>
      <c r="I173" s="8"/>
    </row>
    <row r="174" spans="2:9" x14ac:dyDescent="0.25">
      <c r="B174" s="14" t="str">
        <f t="shared" si="16"/>
        <v/>
      </c>
      <c r="C174" s="4" t="str">
        <f t="shared" ref="C174:C237" si="18">IF(COUNT(B174)=1,DATE(YEAR(C173),MONTH(C173)+1,DAY(C173)),"")</f>
        <v/>
      </c>
      <c r="D174" s="5" t="str">
        <f t="shared" ref="D174:D237" si="19">IF(COUNT(B174)=1,DATE(YEAR(D173),MONTH(D173)+1,DAY(D173)),"")</f>
        <v/>
      </c>
      <c r="E174" s="7" t="str">
        <f>IF(COUNT(B174)=1,SUM($H$10:$H174),"")</f>
        <v/>
      </c>
      <c r="F174" s="6" t="str">
        <f t="shared" ref="F174:F237" si="20">IF(COUNT(B174)=1,B174*$E$4,"")</f>
        <v/>
      </c>
      <c r="G174" s="15" t="str">
        <f t="shared" ref="G174:G237" si="21">IF(COUNT(B174)=1,$E$4*B174+E174,"")</f>
        <v/>
      </c>
      <c r="H174" s="13" t="e">
        <f t="shared" si="17"/>
        <v>#VALUE!</v>
      </c>
      <c r="I174" s="8"/>
    </row>
    <row r="175" spans="2:9" x14ac:dyDescent="0.25">
      <c r="B175" s="14" t="str">
        <f t="shared" si="16"/>
        <v/>
      </c>
      <c r="C175" s="4" t="str">
        <f t="shared" si="18"/>
        <v/>
      </c>
      <c r="D175" s="5" t="str">
        <f t="shared" si="19"/>
        <v/>
      </c>
      <c r="E175" s="7" t="str">
        <f>IF(COUNT(B175)=1,SUM($H$10:$H175),"")</f>
        <v/>
      </c>
      <c r="F175" s="6" t="str">
        <f t="shared" si="20"/>
        <v/>
      </c>
      <c r="G175" s="15" t="str">
        <f t="shared" si="21"/>
        <v/>
      </c>
      <c r="H175" s="13" t="e">
        <f t="shared" si="17"/>
        <v>#VALUE!</v>
      </c>
      <c r="I175" s="8"/>
    </row>
    <row r="176" spans="2:9" x14ac:dyDescent="0.25">
      <c r="B176" s="14" t="str">
        <f t="shared" si="16"/>
        <v/>
      </c>
      <c r="C176" s="4" t="str">
        <f t="shared" si="18"/>
        <v/>
      </c>
      <c r="D176" s="5" t="str">
        <f t="shared" si="19"/>
        <v/>
      </c>
      <c r="E176" s="7" t="str">
        <f>IF(COUNT(B176)=1,SUM($H$10:$H176),"")</f>
        <v/>
      </c>
      <c r="F176" s="6" t="str">
        <f t="shared" si="20"/>
        <v/>
      </c>
      <c r="G176" s="15" t="str">
        <f t="shared" si="21"/>
        <v/>
      </c>
      <c r="H176" s="13" t="e">
        <f t="shared" si="17"/>
        <v>#VALUE!</v>
      </c>
      <c r="I176" s="8"/>
    </row>
    <row r="177" spans="2:9" ht="15.75" thickBot="1" x14ac:dyDescent="0.3">
      <c r="B177" s="34" t="str">
        <f t="shared" si="16"/>
        <v/>
      </c>
      <c r="C177" s="35" t="str">
        <f t="shared" si="18"/>
        <v/>
      </c>
      <c r="D177" s="36" t="str">
        <f t="shared" si="19"/>
        <v/>
      </c>
      <c r="E177" s="37" t="str">
        <f>IF(COUNT(B177)=1,SUM($H$10:$H177),"")</f>
        <v/>
      </c>
      <c r="F177" s="38" t="str">
        <f t="shared" si="20"/>
        <v/>
      </c>
      <c r="G177" s="39" t="str">
        <f t="shared" si="21"/>
        <v/>
      </c>
      <c r="H177" s="13" t="e">
        <f t="shared" si="17"/>
        <v>#VALUE!</v>
      </c>
      <c r="I177" s="8"/>
    </row>
    <row r="178" spans="2:9" x14ac:dyDescent="0.25">
      <c r="B178" s="14" t="str">
        <f t="shared" si="16"/>
        <v/>
      </c>
      <c r="C178" s="23" t="str">
        <f t="shared" si="18"/>
        <v/>
      </c>
      <c r="D178" s="24" t="str">
        <f t="shared" si="19"/>
        <v/>
      </c>
      <c r="E178" s="25" t="str">
        <f>IF(COUNT(B178)=1,SUM($H$10:$H178),"")</f>
        <v/>
      </c>
      <c r="F178" s="26" t="str">
        <f t="shared" si="20"/>
        <v/>
      </c>
      <c r="G178" s="27" t="str">
        <f t="shared" si="21"/>
        <v/>
      </c>
      <c r="H178" s="13" t="e">
        <f t="shared" si="17"/>
        <v>#VALUE!</v>
      </c>
      <c r="I178" s="8"/>
    </row>
    <row r="179" spans="2:9" x14ac:dyDescent="0.25">
      <c r="B179" s="14" t="str">
        <f t="shared" si="16"/>
        <v/>
      </c>
      <c r="C179" s="4" t="str">
        <f t="shared" si="18"/>
        <v/>
      </c>
      <c r="D179" s="5" t="str">
        <f t="shared" si="19"/>
        <v/>
      </c>
      <c r="E179" s="7" t="str">
        <f>IF(COUNT(B179)=1,SUM($H$10:$H179),"")</f>
        <v/>
      </c>
      <c r="F179" s="6" t="str">
        <f t="shared" si="20"/>
        <v/>
      </c>
      <c r="G179" s="15" t="str">
        <f t="shared" si="21"/>
        <v/>
      </c>
      <c r="H179" s="13" t="e">
        <f t="shared" si="17"/>
        <v>#VALUE!</v>
      </c>
      <c r="I179" s="8"/>
    </row>
    <row r="180" spans="2:9" x14ac:dyDescent="0.25">
      <c r="B180" s="14" t="str">
        <f t="shared" si="16"/>
        <v/>
      </c>
      <c r="C180" s="4" t="str">
        <f t="shared" si="18"/>
        <v/>
      </c>
      <c r="D180" s="5" t="str">
        <f t="shared" si="19"/>
        <v/>
      </c>
      <c r="E180" s="7" t="str">
        <f>IF(COUNT(B180)=1,SUM($H$10:$H180),"")</f>
        <v/>
      </c>
      <c r="F180" s="6" t="str">
        <f t="shared" si="20"/>
        <v/>
      </c>
      <c r="G180" s="15" t="str">
        <f t="shared" si="21"/>
        <v/>
      </c>
      <c r="H180" s="13" t="e">
        <f t="shared" si="17"/>
        <v>#VALUE!</v>
      </c>
      <c r="I180" s="8"/>
    </row>
    <row r="181" spans="2:9" x14ac:dyDescent="0.25">
      <c r="B181" s="14" t="str">
        <f t="shared" si="16"/>
        <v/>
      </c>
      <c r="C181" s="4" t="str">
        <f t="shared" si="18"/>
        <v/>
      </c>
      <c r="D181" s="5" t="str">
        <f t="shared" si="19"/>
        <v/>
      </c>
      <c r="E181" s="7" t="str">
        <f>IF(COUNT(B181)=1,SUM($H$10:$H181),"")</f>
        <v/>
      </c>
      <c r="F181" s="6" t="str">
        <f t="shared" si="20"/>
        <v/>
      </c>
      <c r="G181" s="15" t="str">
        <f t="shared" si="21"/>
        <v/>
      </c>
      <c r="H181" s="13" t="e">
        <f t="shared" si="17"/>
        <v>#VALUE!</v>
      </c>
      <c r="I181" s="8"/>
    </row>
    <row r="182" spans="2:9" x14ac:dyDescent="0.25">
      <c r="B182" s="14" t="str">
        <f t="shared" si="16"/>
        <v/>
      </c>
      <c r="C182" s="4" t="str">
        <f t="shared" si="18"/>
        <v/>
      </c>
      <c r="D182" s="5" t="str">
        <f t="shared" si="19"/>
        <v/>
      </c>
      <c r="E182" s="7" t="str">
        <f>IF(COUNT(B182)=1,SUM($H$10:$H182),"")</f>
        <v/>
      </c>
      <c r="F182" s="6" t="str">
        <f t="shared" si="20"/>
        <v/>
      </c>
      <c r="G182" s="15" t="str">
        <f t="shared" si="21"/>
        <v/>
      </c>
      <c r="H182" s="13" t="e">
        <f t="shared" si="17"/>
        <v>#VALUE!</v>
      </c>
      <c r="I182" s="8"/>
    </row>
    <row r="183" spans="2:9" x14ac:dyDescent="0.25">
      <c r="B183" s="14" t="str">
        <f t="shared" si="16"/>
        <v/>
      </c>
      <c r="C183" s="4" t="str">
        <f t="shared" si="18"/>
        <v/>
      </c>
      <c r="D183" s="5" t="str">
        <f t="shared" si="19"/>
        <v/>
      </c>
      <c r="E183" s="7" t="str">
        <f>IF(COUNT(B183)=1,SUM($H$10:$H183),"")</f>
        <v/>
      </c>
      <c r="F183" s="6" t="str">
        <f t="shared" si="20"/>
        <v/>
      </c>
      <c r="G183" s="15" t="str">
        <f t="shared" si="21"/>
        <v/>
      </c>
      <c r="H183" s="13" t="e">
        <f t="shared" si="17"/>
        <v>#VALUE!</v>
      </c>
      <c r="I183" s="8"/>
    </row>
    <row r="184" spans="2:9" x14ac:dyDescent="0.25">
      <c r="B184" s="14" t="str">
        <f t="shared" si="16"/>
        <v/>
      </c>
      <c r="C184" s="4" t="str">
        <f t="shared" si="18"/>
        <v/>
      </c>
      <c r="D184" s="5" t="str">
        <f t="shared" si="19"/>
        <v/>
      </c>
      <c r="E184" s="7" t="str">
        <f>IF(COUNT(B184)=1,SUM($H$10:$H184),"")</f>
        <v/>
      </c>
      <c r="F184" s="6" t="str">
        <f t="shared" si="20"/>
        <v/>
      </c>
      <c r="G184" s="15" t="str">
        <f t="shared" si="21"/>
        <v/>
      </c>
      <c r="H184" s="13" t="e">
        <f t="shared" si="17"/>
        <v>#VALUE!</v>
      </c>
      <c r="I184" s="8"/>
    </row>
    <row r="185" spans="2:9" x14ac:dyDescent="0.25">
      <c r="B185" s="14" t="str">
        <f t="shared" si="16"/>
        <v/>
      </c>
      <c r="C185" s="4" t="str">
        <f t="shared" si="18"/>
        <v/>
      </c>
      <c r="D185" s="5" t="str">
        <f t="shared" si="19"/>
        <v/>
      </c>
      <c r="E185" s="7" t="str">
        <f>IF(COUNT(B185)=1,SUM($H$10:$H185),"")</f>
        <v/>
      </c>
      <c r="F185" s="6" t="str">
        <f t="shared" si="20"/>
        <v/>
      </c>
      <c r="G185" s="15" t="str">
        <f t="shared" si="21"/>
        <v/>
      </c>
      <c r="H185" s="13" t="e">
        <f t="shared" si="17"/>
        <v>#VALUE!</v>
      </c>
      <c r="I185" s="8"/>
    </row>
    <row r="186" spans="2:9" x14ac:dyDescent="0.25">
      <c r="B186" s="14" t="str">
        <f t="shared" si="16"/>
        <v/>
      </c>
      <c r="C186" s="4" t="str">
        <f t="shared" si="18"/>
        <v/>
      </c>
      <c r="D186" s="5" t="str">
        <f t="shared" si="19"/>
        <v/>
      </c>
      <c r="E186" s="7" t="str">
        <f>IF(COUNT(B186)=1,SUM($H$10:$H186),"")</f>
        <v/>
      </c>
      <c r="F186" s="6" t="str">
        <f t="shared" si="20"/>
        <v/>
      </c>
      <c r="G186" s="15" t="str">
        <f t="shared" si="21"/>
        <v/>
      </c>
      <c r="H186" s="13" t="e">
        <f t="shared" si="17"/>
        <v>#VALUE!</v>
      </c>
      <c r="I186" s="8"/>
    </row>
    <row r="187" spans="2:9" x14ac:dyDescent="0.25">
      <c r="B187" s="14" t="str">
        <f t="shared" si="16"/>
        <v/>
      </c>
      <c r="C187" s="4" t="str">
        <f t="shared" si="18"/>
        <v/>
      </c>
      <c r="D187" s="5" t="str">
        <f t="shared" si="19"/>
        <v/>
      </c>
      <c r="E187" s="7" t="str">
        <f>IF(COUNT(B187)=1,SUM($H$10:$H187),"")</f>
        <v/>
      </c>
      <c r="F187" s="6" t="str">
        <f t="shared" si="20"/>
        <v/>
      </c>
      <c r="G187" s="15" t="str">
        <f t="shared" si="21"/>
        <v/>
      </c>
      <c r="H187" s="13" t="e">
        <f t="shared" si="17"/>
        <v>#VALUE!</v>
      </c>
      <c r="I187" s="8"/>
    </row>
    <row r="188" spans="2:9" x14ac:dyDescent="0.25">
      <c r="B188" s="14" t="str">
        <f t="shared" si="16"/>
        <v/>
      </c>
      <c r="C188" s="4" t="str">
        <f t="shared" si="18"/>
        <v/>
      </c>
      <c r="D188" s="5" t="str">
        <f t="shared" si="19"/>
        <v/>
      </c>
      <c r="E188" s="7" t="str">
        <f>IF(COUNT(B188)=1,SUM($H$10:$H188),"")</f>
        <v/>
      </c>
      <c r="F188" s="6" t="str">
        <f t="shared" si="20"/>
        <v/>
      </c>
      <c r="G188" s="15" t="str">
        <f t="shared" si="21"/>
        <v/>
      </c>
      <c r="H188" s="13" t="e">
        <f t="shared" si="17"/>
        <v>#VALUE!</v>
      </c>
      <c r="I188" s="8"/>
    </row>
    <row r="189" spans="2:9" ht="15.75" thickBot="1" x14ac:dyDescent="0.3">
      <c r="B189" s="34" t="str">
        <f t="shared" si="16"/>
        <v/>
      </c>
      <c r="C189" s="35" t="str">
        <f t="shared" si="18"/>
        <v/>
      </c>
      <c r="D189" s="36" t="str">
        <f t="shared" si="19"/>
        <v/>
      </c>
      <c r="E189" s="37" t="str">
        <f>IF(COUNT(B189)=1,SUM($H$10:$H189),"")</f>
        <v/>
      </c>
      <c r="F189" s="38" t="str">
        <f t="shared" si="20"/>
        <v/>
      </c>
      <c r="G189" s="39" t="str">
        <f t="shared" si="21"/>
        <v/>
      </c>
      <c r="H189" s="13" t="e">
        <f t="shared" si="17"/>
        <v>#VALUE!</v>
      </c>
      <c r="I189" s="8"/>
    </row>
    <row r="190" spans="2:9" x14ac:dyDescent="0.25">
      <c r="B190" s="22" t="str">
        <f t="shared" si="16"/>
        <v/>
      </c>
      <c r="C190" s="23" t="str">
        <f t="shared" si="18"/>
        <v/>
      </c>
      <c r="D190" s="24" t="str">
        <f t="shared" si="19"/>
        <v/>
      </c>
      <c r="E190" s="25" t="str">
        <f>IF(COUNT(B190)=1,SUM($H$10:$H190),"")</f>
        <v/>
      </c>
      <c r="F190" s="26" t="str">
        <f t="shared" si="20"/>
        <v/>
      </c>
      <c r="G190" s="27" t="str">
        <f t="shared" si="21"/>
        <v/>
      </c>
      <c r="H190" s="13" t="e">
        <f t="shared" si="17"/>
        <v>#VALUE!</v>
      </c>
      <c r="I190" s="8"/>
    </row>
    <row r="191" spans="2:9" x14ac:dyDescent="0.25">
      <c r="B191" s="14" t="str">
        <f t="shared" si="16"/>
        <v/>
      </c>
      <c r="C191" s="4" t="str">
        <f t="shared" si="18"/>
        <v/>
      </c>
      <c r="D191" s="5" t="str">
        <f t="shared" si="19"/>
        <v/>
      </c>
      <c r="E191" s="7" t="str">
        <f>IF(COUNT(B191)=1,SUM($H$10:$H191),"")</f>
        <v/>
      </c>
      <c r="F191" s="6" t="str">
        <f t="shared" si="20"/>
        <v/>
      </c>
      <c r="G191" s="15" t="str">
        <f t="shared" si="21"/>
        <v/>
      </c>
      <c r="H191" s="13" t="e">
        <f t="shared" si="17"/>
        <v>#VALUE!</v>
      </c>
      <c r="I191" s="8"/>
    </row>
    <row r="192" spans="2:9" x14ac:dyDescent="0.25">
      <c r="B192" s="14" t="str">
        <f t="shared" si="16"/>
        <v/>
      </c>
      <c r="C192" s="4" t="str">
        <f t="shared" si="18"/>
        <v/>
      </c>
      <c r="D192" s="5" t="str">
        <f t="shared" si="19"/>
        <v/>
      </c>
      <c r="E192" s="7" t="str">
        <f>IF(COUNT(B192)=1,SUM($H$10:$H192),"")</f>
        <v/>
      </c>
      <c r="F192" s="6" t="str">
        <f t="shared" si="20"/>
        <v/>
      </c>
      <c r="G192" s="15" t="str">
        <f t="shared" si="21"/>
        <v/>
      </c>
      <c r="H192" s="13" t="e">
        <f t="shared" si="17"/>
        <v>#VALUE!</v>
      </c>
      <c r="I192" s="8"/>
    </row>
    <row r="193" spans="2:9" x14ac:dyDescent="0.25">
      <c r="B193" s="14" t="str">
        <f t="shared" si="16"/>
        <v/>
      </c>
      <c r="C193" s="4" t="str">
        <f t="shared" si="18"/>
        <v/>
      </c>
      <c r="D193" s="5" t="str">
        <f t="shared" si="19"/>
        <v/>
      </c>
      <c r="E193" s="7" t="str">
        <f>IF(COUNT(B193)=1,SUM($H$10:$H193),"")</f>
        <v/>
      </c>
      <c r="F193" s="6" t="str">
        <f t="shared" si="20"/>
        <v/>
      </c>
      <c r="G193" s="15" t="str">
        <f t="shared" si="21"/>
        <v/>
      </c>
      <c r="H193" s="13" t="e">
        <f t="shared" si="17"/>
        <v>#VALUE!</v>
      </c>
      <c r="I193" s="8"/>
    </row>
    <row r="194" spans="2:9" x14ac:dyDescent="0.25">
      <c r="B194" s="14" t="str">
        <f t="shared" si="16"/>
        <v/>
      </c>
      <c r="C194" s="4" t="str">
        <f t="shared" si="18"/>
        <v/>
      </c>
      <c r="D194" s="5" t="str">
        <f t="shared" si="19"/>
        <v/>
      </c>
      <c r="E194" s="7" t="str">
        <f>IF(COUNT(B194)=1,SUM($H$10:$H194),"")</f>
        <v/>
      </c>
      <c r="F194" s="6" t="str">
        <f t="shared" si="20"/>
        <v/>
      </c>
      <c r="G194" s="15" t="str">
        <f t="shared" si="21"/>
        <v/>
      </c>
      <c r="H194" s="13" t="e">
        <f t="shared" si="17"/>
        <v>#VALUE!</v>
      </c>
      <c r="I194" s="8"/>
    </row>
    <row r="195" spans="2:9" x14ac:dyDescent="0.25">
      <c r="B195" s="14" t="str">
        <f t="shared" si="16"/>
        <v/>
      </c>
      <c r="C195" s="4" t="str">
        <f t="shared" si="18"/>
        <v/>
      </c>
      <c r="D195" s="5" t="str">
        <f t="shared" si="19"/>
        <v/>
      </c>
      <c r="E195" s="7" t="str">
        <f>IF(COUNT(B195)=1,SUM($H$10:$H195),"")</f>
        <v/>
      </c>
      <c r="F195" s="6" t="str">
        <f t="shared" si="20"/>
        <v/>
      </c>
      <c r="G195" s="15" t="str">
        <f t="shared" si="21"/>
        <v/>
      </c>
      <c r="H195" s="13" t="e">
        <f t="shared" si="17"/>
        <v>#VALUE!</v>
      </c>
      <c r="I195" s="8"/>
    </row>
    <row r="196" spans="2:9" x14ac:dyDescent="0.25">
      <c r="B196" s="14" t="str">
        <f t="shared" si="16"/>
        <v/>
      </c>
      <c r="C196" s="4" t="str">
        <f t="shared" si="18"/>
        <v/>
      </c>
      <c r="D196" s="5" t="str">
        <f t="shared" si="19"/>
        <v/>
      </c>
      <c r="E196" s="7" t="str">
        <f>IF(COUNT(B196)=1,SUM($H$10:$H196),"")</f>
        <v/>
      </c>
      <c r="F196" s="6" t="str">
        <f t="shared" si="20"/>
        <v/>
      </c>
      <c r="G196" s="15" t="str">
        <f t="shared" si="21"/>
        <v/>
      </c>
      <c r="H196" s="13" t="e">
        <f t="shared" si="17"/>
        <v>#VALUE!</v>
      </c>
      <c r="I196" s="8"/>
    </row>
    <row r="197" spans="2:9" x14ac:dyDescent="0.25">
      <c r="B197" s="14" t="str">
        <f t="shared" si="16"/>
        <v/>
      </c>
      <c r="C197" s="4" t="str">
        <f t="shared" si="18"/>
        <v/>
      </c>
      <c r="D197" s="5" t="str">
        <f t="shared" si="19"/>
        <v/>
      </c>
      <c r="E197" s="7" t="str">
        <f>IF(COUNT(B197)=1,SUM($H$10:$H197),"")</f>
        <v/>
      </c>
      <c r="F197" s="6" t="str">
        <f t="shared" si="20"/>
        <v/>
      </c>
      <c r="G197" s="15" t="str">
        <f t="shared" si="21"/>
        <v/>
      </c>
      <c r="H197" s="13" t="e">
        <f t="shared" si="17"/>
        <v>#VALUE!</v>
      </c>
      <c r="I197" s="8"/>
    </row>
    <row r="198" spans="2:9" x14ac:dyDescent="0.25">
      <c r="B198" s="14" t="str">
        <f t="shared" si="16"/>
        <v/>
      </c>
      <c r="C198" s="4" t="str">
        <f t="shared" si="18"/>
        <v/>
      </c>
      <c r="D198" s="5" t="str">
        <f t="shared" si="19"/>
        <v/>
      </c>
      <c r="E198" s="7" t="str">
        <f>IF(COUNT(B198)=1,SUM($H$10:$H198),"")</f>
        <v/>
      </c>
      <c r="F198" s="6" t="str">
        <f t="shared" si="20"/>
        <v/>
      </c>
      <c r="G198" s="15" t="str">
        <f t="shared" si="21"/>
        <v/>
      </c>
      <c r="H198" s="13" t="e">
        <f t="shared" si="17"/>
        <v>#VALUE!</v>
      </c>
      <c r="I198" s="8"/>
    </row>
    <row r="199" spans="2:9" x14ac:dyDescent="0.25">
      <c r="B199" s="14" t="str">
        <f t="shared" si="16"/>
        <v/>
      </c>
      <c r="C199" s="4" t="str">
        <f t="shared" si="18"/>
        <v/>
      </c>
      <c r="D199" s="5" t="str">
        <f t="shared" si="19"/>
        <v/>
      </c>
      <c r="E199" s="7" t="str">
        <f>IF(COUNT(B199)=1,SUM($H$10:$H199),"")</f>
        <v/>
      </c>
      <c r="F199" s="6" t="str">
        <f t="shared" si="20"/>
        <v/>
      </c>
      <c r="G199" s="15" t="str">
        <f t="shared" si="21"/>
        <v/>
      </c>
      <c r="H199" s="13" t="e">
        <f t="shared" si="17"/>
        <v>#VALUE!</v>
      </c>
      <c r="I199" s="8"/>
    </row>
    <row r="200" spans="2:9" x14ac:dyDescent="0.25">
      <c r="B200" s="14" t="str">
        <f t="shared" si="16"/>
        <v/>
      </c>
      <c r="C200" s="4" t="str">
        <f t="shared" si="18"/>
        <v/>
      </c>
      <c r="D200" s="5" t="str">
        <f t="shared" si="19"/>
        <v/>
      </c>
      <c r="E200" s="7" t="str">
        <f>IF(COUNT(B200)=1,SUM($H$10:$H200),"")</f>
        <v/>
      </c>
      <c r="F200" s="6" t="str">
        <f t="shared" si="20"/>
        <v/>
      </c>
      <c r="G200" s="15" t="str">
        <f t="shared" si="21"/>
        <v/>
      </c>
      <c r="H200" s="13" t="e">
        <f t="shared" si="17"/>
        <v>#VALUE!</v>
      </c>
      <c r="I200" s="8"/>
    </row>
    <row r="201" spans="2:9" ht="15.75" thickBot="1" x14ac:dyDescent="0.3">
      <c r="B201" s="34" t="str">
        <f t="shared" si="16"/>
        <v/>
      </c>
      <c r="C201" s="35" t="str">
        <f t="shared" si="18"/>
        <v/>
      </c>
      <c r="D201" s="36" t="str">
        <f t="shared" si="19"/>
        <v/>
      </c>
      <c r="E201" s="37" t="str">
        <f>IF(COUNT(B201)=1,SUM($H$10:$H201),"")</f>
        <v/>
      </c>
      <c r="F201" s="38" t="str">
        <f t="shared" si="20"/>
        <v/>
      </c>
      <c r="G201" s="39" t="str">
        <f t="shared" si="21"/>
        <v/>
      </c>
      <c r="H201" s="13" t="e">
        <f t="shared" si="17"/>
        <v>#VALUE!</v>
      </c>
      <c r="I201" s="8"/>
    </row>
    <row r="202" spans="2:9" x14ac:dyDescent="0.25">
      <c r="B202" s="14" t="str">
        <f t="shared" si="16"/>
        <v/>
      </c>
      <c r="C202" s="23" t="str">
        <f t="shared" si="18"/>
        <v/>
      </c>
      <c r="D202" s="24" t="str">
        <f t="shared" si="19"/>
        <v/>
      </c>
      <c r="E202" s="25" t="str">
        <f>IF(COUNT(B202)=1,SUM($H$10:$H202),"")</f>
        <v/>
      </c>
      <c r="F202" s="26" t="str">
        <f t="shared" si="20"/>
        <v/>
      </c>
      <c r="G202" s="27" t="str">
        <f t="shared" si="21"/>
        <v/>
      </c>
      <c r="H202" s="13" t="e">
        <f t="shared" si="17"/>
        <v>#VALUE!</v>
      </c>
      <c r="I202" s="8"/>
    </row>
    <row r="203" spans="2:9" x14ac:dyDescent="0.25">
      <c r="B203" s="14" t="str">
        <f t="shared" ref="B203:B249" si="22">IF($G$5&gt;B202,B202+1,"")</f>
        <v/>
      </c>
      <c r="C203" s="4" t="str">
        <f t="shared" si="18"/>
        <v/>
      </c>
      <c r="D203" s="5" t="str">
        <f t="shared" si="19"/>
        <v/>
      </c>
      <c r="E203" s="7" t="str">
        <f>IF(COUNT(B203)=1,SUM($H$10:$H203),"")</f>
        <v/>
      </c>
      <c r="F203" s="6" t="str">
        <f t="shared" si="20"/>
        <v/>
      </c>
      <c r="G203" s="15" t="str">
        <f t="shared" si="21"/>
        <v/>
      </c>
      <c r="H203" s="13" t="e">
        <f t="shared" ref="H203:H249" si="23">INT($E$5/12*($E$4*B203+$E$3))</f>
        <v>#VALUE!</v>
      </c>
      <c r="I203" s="8"/>
    </row>
    <row r="204" spans="2:9" x14ac:dyDescent="0.25">
      <c r="B204" s="14" t="str">
        <f t="shared" si="22"/>
        <v/>
      </c>
      <c r="C204" s="4" t="str">
        <f t="shared" si="18"/>
        <v/>
      </c>
      <c r="D204" s="5" t="str">
        <f t="shared" si="19"/>
        <v/>
      </c>
      <c r="E204" s="7" t="str">
        <f>IF(COUNT(B204)=1,SUM($H$10:$H204),"")</f>
        <v/>
      </c>
      <c r="F204" s="6" t="str">
        <f t="shared" si="20"/>
        <v/>
      </c>
      <c r="G204" s="15" t="str">
        <f t="shared" si="21"/>
        <v/>
      </c>
      <c r="H204" s="13" t="e">
        <f t="shared" si="23"/>
        <v>#VALUE!</v>
      </c>
      <c r="I204" s="8"/>
    </row>
    <row r="205" spans="2:9" x14ac:dyDescent="0.25">
      <c r="B205" s="14" t="str">
        <f t="shared" si="22"/>
        <v/>
      </c>
      <c r="C205" s="4" t="str">
        <f t="shared" si="18"/>
        <v/>
      </c>
      <c r="D205" s="5" t="str">
        <f t="shared" si="19"/>
        <v/>
      </c>
      <c r="E205" s="7" t="str">
        <f>IF(COUNT(B205)=1,SUM($H$10:$H205),"")</f>
        <v/>
      </c>
      <c r="F205" s="6" t="str">
        <f t="shared" si="20"/>
        <v/>
      </c>
      <c r="G205" s="15" t="str">
        <f t="shared" si="21"/>
        <v/>
      </c>
      <c r="H205" s="13" t="e">
        <f t="shared" si="23"/>
        <v>#VALUE!</v>
      </c>
      <c r="I205" s="8"/>
    </row>
    <row r="206" spans="2:9" x14ac:dyDescent="0.25">
      <c r="B206" s="14" t="str">
        <f t="shared" si="22"/>
        <v/>
      </c>
      <c r="C206" s="4" t="str">
        <f t="shared" si="18"/>
        <v/>
      </c>
      <c r="D206" s="5" t="str">
        <f t="shared" si="19"/>
        <v/>
      </c>
      <c r="E206" s="7" t="str">
        <f>IF(COUNT(B206)=1,SUM($H$10:$H206),"")</f>
        <v/>
      </c>
      <c r="F206" s="6" t="str">
        <f t="shared" si="20"/>
        <v/>
      </c>
      <c r="G206" s="15" t="str">
        <f t="shared" si="21"/>
        <v/>
      </c>
      <c r="H206" s="13" t="e">
        <f t="shared" si="23"/>
        <v>#VALUE!</v>
      </c>
      <c r="I206" s="8"/>
    </row>
    <row r="207" spans="2:9" x14ac:dyDescent="0.25">
      <c r="B207" s="14" t="str">
        <f t="shared" si="22"/>
        <v/>
      </c>
      <c r="C207" s="4" t="str">
        <f t="shared" si="18"/>
        <v/>
      </c>
      <c r="D207" s="5" t="str">
        <f t="shared" si="19"/>
        <v/>
      </c>
      <c r="E207" s="7" t="str">
        <f>IF(COUNT(B207)=1,SUM($H$10:$H207),"")</f>
        <v/>
      </c>
      <c r="F207" s="6" t="str">
        <f t="shared" si="20"/>
        <v/>
      </c>
      <c r="G207" s="15" t="str">
        <f t="shared" si="21"/>
        <v/>
      </c>
      <c r="H207" s="13" t="e">
        <f t="shared" si="23"/>
        <v>#VALUE!</v>
      </c>
      <c r="I207" s="8"/>
    </row>
    <row r="208" spans="2:9" x14ac:dyDescent="0.25">
      <c r="B208" s="14" t="str">
        <f t="shared" si="22"/>
        <v/>
      </c>
      <c r="C208" s="4" t="str">
        <f t="shared" si="18"/>
        <v/>
      </c>
      <c r="D208" s="5" t="str">
        <f t="shared" si="19"/>
        <v/>
      </c>
      <c r="E208" s="7" t="str">
        <f>IF(COUNT(B208)=1,SUM($H$10:$H208),"")</f>
        <v/>
      </c>
      <c r="F208" s="6" t="str">
        <f t="shared" si="20"/>
        <v/>
      </c>
      <c r="G208" s="15" t="str">
        <f t="shared" si="21"/>
        <v/>
      </c>
      <c r="H208" s="13" t="e">
        <f t="shared" si="23"/>
        <v>#VALUE!</v>
      </c>
      <c r="I208" s="8"/>
    </row>
    <row r="209" spans="2:9" x14ac:dyDescent="0.25">
      <c r="B209" s="14" t="str">
        <f t="shared" si="22"/>
        <v/>
      </c>
      <c r="C209" s="4" t="str">
        <f t="shared" si="18"/>
        <v/>
      </c>
      <c r="D209" s="5" t="str">
        <f t="shared" si="19"/>
        <v/>
      </c>
      <c r="E209" s="7" t="str">
        <f>IF(COUNT(B209)=1,SUM($H$10:$H209),"")</f>
        <v/>
      </c>
      <c r="F209" s="6" t="str">
        <f t="shared" si="20"/>
        <v/>
      </c>
      <c r="G209" s="15" t="str">
        <f t="shared" si="21"/>
        <v/>
      </c>
      <c r="H209" s="13" t="e">
        <f t="shared" si="23"/>
        <v>#VALUE!</v>
      </c>
      <c r="I209" s="8"/>
    </row>
    <row r="210" spans="2:9" x14ac:dyDescent="0.25">
      <c r="B210" s="14" t="str">
        <f t="shared" si="22"/>
        <v/>
      </c>
      <c r="C210" s="4" t="str">
        <f t="shared" si="18"/>
        <v/>
      </c>
      <c r="D210" s="5" t="str">
        <f t="shared" si="19"/>
        <v/>
      </c>
      <c r="E210" s="7" t="str">
        <f>IF(COUNT(B210)=1,SUM($H$10:$H210),"")</f>
        <v/>
      </c>
      <c r="F210" s="6" t="str">
        <f t="shared" si="20"/>
        <v/>
      </c>
      <c r="G210" s="15" t="str">
        <f t="shared" si="21"/>
        <v/>
      </c>
      <c r="H210" s="13" t="e">
        <f t="shared" si="23"/>
        <v>#VALUE!</v>
      </c>
      <c r="I210" s="8"/>
    </row>
    <row r="211" spans="2:9" x14ac:dyDescent="0.25">
      <c r="B211" s="14" t="str">
        <f t="shared" si="22"/>
        <v/>
      </c>
      <c r="C211" s="4" t="str">
        <f t="shared" si="18"/>
        <v/>
      </c>
      <c r="D211" s="5" t="str">
        <f t="shared" si="19"/>
        <v/>
      </c>
      <c r="E211" s="7" t="str">
        <f>IF(COUNT(B211)=1,SUM($H$10:$H211),"")</f>
        <v/>
      </c>
      <c r="F211" s="6" t="str">
        <f t="shared" si="20"/>
        <v/>
      </c>
      <c r="G211" s="15" t="str">
        <f t="shared" si="21"/>
        <v/>
      </c>
      <c r="H211" s="13" t="e">
        <f t="shared" si="23"/>
        <v>#VALUE!</v>
      </c>
      <c r="I211" s="8"/>
    </row>
    <row r="212" spans="2:9" x14ac:dyDescent="0.25">
      <c r="B212" s="14" t="str">
        <f t="shared" si="22"/>
        <v/>
      </c>
      <c r="C212" s="4" t="str">
        <f t="shared" si="18"/>
        <v/>
      </c>
      <c r="D212" s="5" t="str">
        <f t="shared" si="19"/>
        <v/>
      </c>
      <c r="E212" s="7" t="str">
        <f>IF(COUNT(B212)=1,SUM($H$10:$H212),"")</f>
        <v/>
      </c>
      <c r="F212" s="6" t="str">
        <f t="shared" si="20"/>
        <v/>
      </c>
      <c r="G212" s="15" t="str">
        <f t="shared" si="21"/>
        <v/>
      </c>
      <c r="H212" s="13" t="e">
        <f t="shared" si="23"/>
        <v>#VALUE!</v>
      </c>
      <c r="I212" s="8"/>
    </row>
    <row r="213" spans="2:9" ht="15.75" thickBot="1" x14ac:dyDescent="0.3">
      <c r="B213" s="34" t="str">
        <f t="shared" si="22"/>
        <v/>
      </c>
      <c r="C213" s="35" t="str">
        <f t="shared" si="18"/>
        <v/>
      </c>
      <c r="D213" s="36" t="str">
        <f t="shared" si="19"/>
        <v/>
      </c>
      <c r="E213" s="37" t="str">
        <f>IF(COUNT(B213)=1,SUM($H$10:$H213),"")</f>
        <v/>
      </c>
      <c r="F213" s="38" t="str">
        <f t="shared" si="20"/>
        <v/>
      </c>
      <c r="G213" s="39" t="str">
        <f t="shared" si="21"/>
        <v/>
      </c>
      <c r="H213" s="13" t="e">
        <f t="shared" si="23"/>
        <v>#VALUE!</v>
      </c>
      <c r="I213" s="8"/>
    </row>
    <row r="214" spans="2:9" x14ac:dyDescent="0.25">
      <c r="B214" s="22" t="str">
        <f t="shared" si="22"/>
        <v/>
      </c>
      <c r="C214" s="23" t="str">
        <f t="shared" si="18"/>
        <v/>
      </c>
      <c r="D214" s="24" t="str">
        <f t="shared" si="19"/>
        <v/>
      </c>
      <c r="E214" s="25" t="str">
        <f>IF(COUNT(B214)=1,SUM($H$10:$H214),"")</f>
        <v/>
      </c>
      <c r="F214" s="26" t="str">
        <f t="shared" si="20"/>
        <v/>
      </c>
      <c r="G214" s="27" t="str">
        <f t="shared" si="21"/>
        <v/>
      </c>
      <c r="H214" s="13" t="e">
        <f t="shared" si="23"/>
        <v>#VALUE!</v>
      </c>
      <c r="I214" s="8"/>
    </row>
    <row r="215" spans="2:9" x14ac:dyDescent="0.25">
      <c r="B215" s="14" t="str">
        <f t="shared" si="22"/>
        <v/>
      </c>
      <c r="C215" s="4" t="str">
        <f t="shared" si="18"/>
        <v/>
      </c>
      <c r="D215" s="5" t="str">
        <f t="shared" si="19"/>
        <v/>
      </c>
      <c r="E215" s="7" t="str">
        <f>IF(COUNT(B215)=1,SUM($H$10:$H215),"")</f>
        <v/>
      </c>
      <c r="F215" s="6" t="str">
        <f t="shared" si="20"/>
        <v/>
      </c>
      <c r="G215" s="15" t="str">
        <f t="shared" si="21"/>
        <v/>
      </c>
      <c r="H215" s="13" t="e">
        <f t="shared" si="23"/>
        <v>#VALUE!</v>
      </c>
      <c r="I215" s="8"/>
    </row>
    <row r="216" spans="2:9" x14ac:dyDescent="0.25">
      <c r="B216" s="14" t="str">
        <f t="shared" si="22"/>
        <v/>
      </c>
      <c r="C216" s="4" t="str">
        <f t="shared" si="18"/>
        <v/>
      </c>
      <c r="D216" s="5" t="str">
        <f t="shared" si="19"/>
        <v/>
      </c>
      <c r="E216" s="7" t="str">
        <f>IF(COUNT(B216)=1,SUM($H$10:$H216),"")</f>
        <v/>
      </c>
      <c r="F216" s="6" t="str">
        <f t="shared" si="20"/>
        <v/>
      </c>
      <c r="G216" s="15" t="str">
        <f t="shared" si="21"/>
        <v/>
      </c>
      <c r="H216" s="13" t="e">
        <f t="shared" si="23"/>
        <v>#VALUE!</v>
      </c>
      <c r="I216" s="8"/>
    </row>
    <row r="217" spans="2:9" x14ac:dyDescent="0.25">
      <c r="B217" s="14" t="str">
        <f t="shared" si="22"/>
        <v/>
      </c>
      <c r="C217" s="4" t="str">
        <f t="shared" si="18"/>
        <v/>
      </c>
      <c r="D217" s="5" t="str">
        <f t="shared" si="19"/>
        <v/>
      </c>
      <c r="E217" s="7" t="str">
        <f>IF(COUNT(B217)=1,SUM($H$10:$H217),"")</f>
        <v/>
      </c>
      <c r="F217" s="6" t="str">
        <f t="shared" si="20"/>
        <v/>
      </c>
      <c r="G217" s="15" t="str">
        <f t="shared" si="21"/>
        <v/>
      </c>
      <c r="H217" s="13" t="e">
        <f t="shared" si="23"/>
        <v>#VALUE!</v>
      </c>
      <c r="I217" s="8"/>
    </row>
    <row r="218" spans="2:9" x14ac:dyDescent="0.25">
      <c r="B218" s="14" t="str">
        <f t="shared" si="22"/>
        <v/>
      </c>
      <c r="C218" s="4" t="str">
        <f t="shared" si="18"/>
        <v/>
      </c>
      <c r="D218" s="5" t="str">
        <f t="shared" si="19"/>
        <v/>
      </c>
      <c r="E218" s="7" t="str">
        <f>IF(COUNT(B218)=1,SUM($H$10:$H218),"")</f>
        <v/>
      </c>
      <c r="F218" s="6" t="str">
        <f t="shared" si="20"/>
        <v/>
      </c>
      <c r="G218" s="15" t="str">
        <f t="shared" si="21"/>
        <v/>
      </c>
      <c r="H218" s="13" t="e">
        <f t="shared" si="23"/>
        <v>#VALUE!</v>
      </c>
      <c r="I218" s="8"/>
    </row>
    <row r="219" spans="2:9" x14ac:dyDescent="0.25">
      <c r="B219" s="14" t="str">
        <f t="shared" si="22"/>
        <v/>
      </c>
      <c r="C219" s="4" t="str">
        <f t="shared" si="18"/>
        <v/>
      </c>
      <c r="D219" s="5" t="str">
        <f t="shared" si="19"/>
        <v/>
      </c>
      <c r="E219" s="7" t="str">
        <f>IF(COUNT(B219)=1,SUM($H$10:$H219),"")</f>
        <v/>
      </c>
      <c r="F219" s="6" t="str">
        <f t="shared" si="20"/>
        <v/>
      </c>
      <c r="G219" s="15" t="str">
        <f t="shared" si="21"/>
        <v/>
      </c>
      <c r="H219" s="13" t="e">
        <f t="shared" si="23"/>
        <v>#VALUE!</v>
      </c>
      <c r="I219" s="8"/>
    </row>
    <row r="220" spans="2:9" x14ac:dyDescent="0.25">
      <c r="B220" s="14" t="str">
        <f t="shared" si="22"/>
        <v/>
      </c>
      <c r="C220" s="4" t="str">
        <f t="shared" si="18"/>
        <v/>
      </c>
      <c r="D220" s="5" t="str">
        <f t="shared" si="19"/>
        <v/>
      </c>
      <c r="E220" s="7" t="str">
        <f>IF(COUNT(B220)=1,SUM($H$10:$H220),"")</f>
        <v/>
      </c>
      <c r="F220" s="6" t="str">
        <f t="shared" si="20"/>
        <v/>
      </c>
      <c r="G220" s="15" t="str">
        <f t="shared" si="21"/>
        <v/>
      </c>
      <c r="H220" s="13" t="e">
        <f t="shared" si="23"/>
        <v>#VALUE!</v>
      </c>
      <c r="I220" s="8"/>
    </row>
    <row r="221" spans="2:9" x14ac:dyDescent="0.25">
      <c r="B221" s="14" t="str">
        <f t="shared" si="22"/>
        <v/>
      </c>
      <c r="C221" s="4" t="str">
        <f t="shared" si="18"/>
        <v/>
      </c>
      <c r="D221" s="5" t="str">
        <f t="shared" si="19"/>
        <v/>
      </c>
      <c r="E221" s="7" t="str">
        <f>IF(COUNT(B221)=1,SUM($H$10:$H221),"")</f>
        <v/>
      </c>
      <c r="F221" s="6" t="str">
        <f t="shared" si="20"/>
        <v/>
      </c>
      <c r="G221" s="15" t="str">
        <f t="shared" si="21"/>
        <v/>
      </c>
      <c r="H221" s="13" t="e">
        <f t="shared" si="23"/>
        <v>#VALUE!</v>
      </c>
      <c r="I221" s="8"/>
    </row>
    <row r="222" spans="2:9" x14ac:dyDescent="0.25">
      <c r="B222" s="14" t="str">
        <f t="shared" si="22"/>
        <v/>
      </c>
      <c r="C222" s="4" t="str">
        <f t="shared" si="18"/>
        <v/>
      </c>
      <c r="D222" s="5" t="str">
        <f t="shared" si="19"/>
        <v/>
      </c>
      <c r="E222" s="7" t="str">
        <f>IF(COUNT(B222)=1,SUM($H$10:$H222),"")</f>
        <v/>
      </c>
      <c r="F222" s="6" t="str">
        <f t="shared" si="20"/>
        <v/>
      </c>
      <c r="G222" s="15" t="str">
        <f t="shared" si="21"/>
        <v/>
      </c>
      <c r="H222" s="13" t="e">
        <f t="shared" si="23"/>
        <v>#VALUE!</v>
      </c>
      <c r="I222" s="8"/>
    </row>
    <row r="223" spans="2:9" x14ac:dyDescent="0.25">
      <c r="B223" s="14" t="str">
        <f t="shared" si="22"/>
        <v/>
      </c>
      <c r="C223" s="4" t="str">
        <f t="shared" si="18"/>
        <v/>
      </c>
      <c r="D223" s="5" t="str">
        <f t="shared" si="19"/>
        <v/>
      </c>
      <c r="E223" s="7" t="str">
        <f>IF(COUNT(B223)=1,SUM($H$10:$H223),"")</f>
        <v/>
      </c>
      <c r="F223" s="6" t="str">
        <f t="shared" si="20"/>
        <v/>
      </c>
      <c r="G223" s="15" t="str">
        <f t="shared" si="21"/>
        <v/>
      </c>
      <c r="H223" s="13" t="e">
        <f t="shared" si="23"/>
        <v>#VALUE!</v>
      </c>
      <c r="I223" s="8"/>
    </row>
    <row r="224" spans="2:9" x14ac:dyDescent="0.25">
      <c r="B224" s="14" t="str">
        <f t="shared" si="22"/>
        <v/>
      </c>
      <c r="C224" s="4" t="str">
        <f t="shared" si="18"/>
        <v/>
      </c>
      <c r="D224" s="5" t="str">
        <f t="shared" si="19"/>
        <v/>
      </c>
      <c r="E224" s="7" t="str">
        <f>IF(COUNT(B224)=1,SUM($H$10:$H224),"")</f>
        <v/>
      </c>
      <c r="F224" s="6" t="str">
        <f t="shared" si="20"/>
        <v/>
      </c>
      <c r="G224" s="15" t="str">
        <f t="shared" si="21"/>
        <v/>
      </c>
      <c r="H224" s="13" t="e">
        <f t="shared" si="23"/>
        <v>#VALUE!</v>
      </c>
      <c r="I224" s="8"/>
    </row>
    <row r="225" spans="2:9" ht="15.75" thickBot="1" x14ac:dyDescent="0.3">
      <c r="B225" s="34" t="str">
        <f t="shared" si="22"/>
        <v/>
      </c>
      <c r="C225" s="35" t="str">
        <f t="shared" si="18"/>
        <v/>
      </c>
      <c r="D225" s="36" t="str">
        <f t="shared" si="19"/>
        <v/>
      </c>
      <c r="E225" s="37" t="str">
        <f>IF(COUNT(B225)=1,SUM($H$10:$H225),"")</f>
        <v/>
      </c>
      <c r="F225" s="38" t="str">
        <f t="shared" si="20"/>
        <v/>
      </c>
      <c r="G225" s="39" t="str">
        <f t="shared" si="21"/>
        <v/>
      </c>
      <c r="H225" s="13" t="e">
        <f t="shared" si="23"/>
        <v>#VALUE!</v>
      </c>
      <c r="I225" s="8"/>
    </row>
    <row r="226" spans="2:9" x14ac:dyDescent="0.25">
      <c r="B226" s="14" t="str">
        <f t="shared" si="22"/>
        <v/>
      </c>
      <c r="C226" s="23" t="str">
        <f t="shared" si="18"/>
        <v/>
      </c>
      <c r="D226" s="24" t="str">
        <f t="shared" si="19"/>
        <v/>
      </c>
      <c r="E226" s="25" t="str">
        <f>IF(COUNT(B226)=1,SUM($H$10:$H226),"")</f>
        <v/>
      </c>
      <c r="F226" s="26" t="str">
        <f t="shared" si="20"/>
        <v/>
      </c>
      <c r="G226" s="27" t="str">
        <f t="shared" si="21"/>
        <v/>
      </c>
      <c r="H226" s="13" t="e">
        <f t="shared" si="23"/>
        <v>#VALUE!</v>
      </c>
      <c r="I226" s="8"/>
    </row>
    <row r="227" spans="2:9" x14ac:dyDescent="0.25">
      <c r="B227" s="14" t="str">
        <f t="shared" si="22"/>
        <v/>
      </c>
      <c r="C227" s="4" t="str">
        <f t="shared" si="18"/>
        <v/>
      </c>
      <c r="D227" s="5" t="str">
        <f t="shared" si="19"/>
        <v/>
      </c>
      <c r="E227" s="7" t="str">
        <f>IF(COUNT(B227)=1,SUM($H$10:$H227),"")</f>
        <v/>
      </c>
      <c r="F227" s="6" t="str">
        <f t="shared" si="20"/>
        <v/>
      </c>
      <c r="G227" s="15" t="str">
        <f t="shared" si="21"/>
        <v/>
      </c>
      <c r="H227" s="13" t="e">
        <f t="shared" si="23"/>
        <v>#VALUE!</v>
      </c>
      <c r="I227" s="8"/>
    </row>
    <row r="228" spans="2:9" x14ac:dyDescent="0.25">
      <c r="B228" s="14" t="str">
        <f t="shared" si="22"/>
        <v/>
      </c>
      <c r="C228" s="4" t="str">
        <f t="shared" si="18"/>
        <v/>
      </c>
      <c r="D228" s="5" t="str">
        <f t="shared" si="19"/>
        <v/>
      </c>
      <c r="E228" s="7" t="str">
        <f>IF(COUNT(B228)=1,SUM($H$10:$H228),"")</f>
        <v/>
      </c>
      <c r="F228" s="6" t="str">
        <f t="shared" si="20"/>
        <v/>
      </c>
      <c r="G228" s="15" t="str">
        <f t="shared" si="21"/>
        <v/>
      </c>
      <c r="H228" s="13" t="e">
        <f t="shared" si="23"/>
        <v>#VALUE!</v>
      </c>
      <c r="I228" s="8"/>
    </row>
    <row r="229" spans="2:9" x14ac:dyDescent="0.25">
      <c r="B229" s="14" t="str">
        <f t="shared" si="22"/>
        <v/>
      </c>
      <c r="C229" s="4" t="str">
        <f t="shared" si="18"/>
        <v/>
      </c>
      <c r="D229" s="5" t="str">
        <f t="shared" si="19"/>
        <v/>
      </c>
      <c r="E229" s="7" t="str">
        <f>IF(COUNT(B229)=1,SUM($H$10:$H229),"")</f>
        <v/>
      </c>
      <c r="F229" s="6" t="str">
        <f t="shared" si="20"/>
        <v/>
      </c>
      <c r="G229" s="15" t="str">
        <f t="shared" si="21"/>
        <v/>
      </c>
      <c r="H229" s="13" t="e">
        <f t="shared" si="23"/>
        <v>#VALUE!</v>
      </c>
      <c r="I229" s="8"/>
    </row>
    <row r="230" spans="2:9" x14ac:dyDescent="0.25">
      <c r="B230" s="14" t="str">
        <f t="shared" si="22"/>
        <v/>
      </c>
      <c r="C230" s="4" t="str">
        <f t="shared" si="18"/>
        <v/>
      </c>
      <c r="D230" s="5" t="str">
        <f t="shared" si="19"/>
        <v/>
      </c>
      <c r="E230" s="7" t="str">
        <f>IF(COUNT(B230)=1,SUM($H$10:$H230),"")</f>
        <v/>
      </c>
      <c r="F230" s="6" t="str">
        <f t="shared" si="20"/>
        <v/>
      </c>
      <c r="G230" s="15" t="str">
        <f t="shared" si="21"/>
        <v/>
      </c>
      <c r="H230" s="13" t="e">
        <f t="shared" si="23"/>
        <v>#VALUE!</v>
      </c>
      <c r="I230" s="8"/>
    </row>
    <row r="231" spans="2:9" x14ac:dyDescent="0.25">
      <c r="B231" s="14" t="str">
        <f t="shared" si="22"/>
        <v/>
      </c>
      <c r="C231" s="4" t="str">
        <f t="shared" si="18"/>
        <v/>
      </c>
      <c r="D231" s="5" t="str">
        <f t="shared" si="19"/>
        <v/>
      </c>
      <c r="E231" s="7" t="str">
        <f>IF(COUNT(B231)=1,SUM($H$10:$H231),"")</f>
        <v/>
      </c>
      <c r="F231" s="6" t="str">
        <f t="shared" si="20"/>
        <v/>
      </c>
      <c r="G231" s="15" t="str">
        <f t="shared" si="21"/>
        <v/>
      </c>
      <c r="H231" s="13" t="e">
        <f t="shared" si="23"/>
        <v>#VALUE!</v>
      </c>
      <c r="I231" s="8"/>
    </row>
    <row r="232" spans="2:9" x14ac:dyDescent="0.25">
      <c r="B232" s="14" t="str">
        <f t="shared" si="22"/>
        <v/>
      </c>
      <c r="C232" s="4" t="str">
        <f t="shared" si="18"/>
        <v/>
      </c>
      <c r="D232" s="5" t="str">
        <f t="shared" si="19"/>
        <v/>
      </c>
      <c r="E232" s="7" t="str">
        <f>IF(COUNT(B232)=1,SUM($H$10:$H232),"")</f>
        <v/>
      </c>
      <c r="F232" s="6" t="str">
        <f t="shared" si="20"/>
        <v/>
      </c>
      <c r="G232" s="15" t="str">
        <f t="shared" si="21"/>
        <v/>
      </c>
      <c r="H232" s="13" t="e">
        <f t="shared" si="23"/>
        <v>#VALUE!</v>
      </c>
      <c r="I232" s="8"/>
    </row>
    <row r="233" spans="2:9" x14ac:dyDescent="0.25">
      <c r="B233" s="14" t="str">
        <f t="shared" si="22"/>
        <v/>
      </c>
      <c r="C233" s="4" t="str">
        <f t="shared" si="18"/>
        <v/>
      </c>
      <c r="D233" s="5" t="str">
        <f t="shared" si="19"/>
        <v/>
      </c>
      <c r="E233" s="7" t="str">
        <f>IF(COUNT(B233)=1,SUM($H$10:$H233),"")</f>
        <v/>
      </c>
      <c r="F233" s="6" t="str">
        <f t="shared" si="20"/>
        <v/>
      </c>
      <c r="G233" s="15" t="str">
        <f t="shared" si="21"/>
        <v/>
      </c>
      <c r="H233" s="13" t="e">
        <f t="shared" si="23"/>
        <v>#VALUE!</v>
      </c>
      <c r="I233" s="8"/>
    </row>
    <row r="234" spans="2:9" x14ac:dyDescent="0.25">
      <c r="B234" s="14" t="str">
        <f t="shared" si="22"/>
        <v/>
      </c>
      <c r="C234" s="4" t="str">
        <f t="shared" si="18"/>
        <v/>
      </c>
      <c r="D234" s="5" t="str">
        <f t="shared" si="19"/>
        <v/>
      </c>
      <c r="E234" s="7" t="str">
        <f>IF(COUNT(B234)=1,SUM($H$10:$H234),"")</f>
        <v/>
      </c>
      <c r="F234" s="6" t="str">
        <f t="shared" si="20"/>
        <v/>
      </c>
      <c r="G234" s="15" t="str">
        <f t="shared" si="21"/>
        <v/>
      </c>
      <c r="H234" s="13" t="e">
        <f t="shared" si="23"/>
        <v>#VALUE!</v>
      </c>
      <c r="I234" s="8"/>
    </row>
    <row r="235" spans="2:9" x14ac:dyDescent="0.25">
      <c r="B235" s="14" t="str">
        <f t="shared" si="22"/>
        <v/>
      </c>
      <c r="C235" s="4" t="str">
        <f t="shared" si="18"/>
        <v/>
      </c>
      <c r="D235" s="5" t="str">
        <f t="shared" si="19"/>
        <v/>
      </c>
      <c r="E235" s="7" t="str">
        <f>IF(COUNT(B235)=1,SUM($H$10:$H235),"")</f>
        <v/>
      </c>
      <c r="F235" s="6" t="str">
        <f t="shared" si="20"/>
        <v/>
      </c>
      <c r="G235" s="15" t="str">
        <f t="shared" si="21"/>
        <v/>
      </c>
      <c r="H235" s="13" t="e">
        <f t="shared" si="23"/>
        <v>#VALUE!</v>
      </c>
      <c r="I235" s="8"/>
    </row>
    <row r="236" spans="2:9" x14ac:dyDescent="0.25">
      <c r="B236" s="14" t="str">
        <f t="shared" si="22"/>
        <v/>
      </c>
      <c r="C236" s="4" t="str">
        <f t="shared" si="18"/>
        <v/>
      </c>
      <c r="D236" s="5" t="str">
        <f t="shared" si="19"/>
        <v/>
      </c>
      <c r="E236" s="7" t="str">
        <f>IF(COUNT(B236)=1,SUM($H$10:$H236),"")</f>
        <v/>
      </c>
      <c r="F236" s="6" t="str">
        <f t="shared" si="20"/>
        <v/>
      </c>
      <c r="G236" s="15" t="str">
        <f t="shared" si="21"/>
        <v/>
      </c>
      <c r="H236" s="13" t="e">
        <f t="shared" si="23"/>
        <v>#VALUE!</v>
      </c>
      <c r="I236" s="8"/>
    </row>
    <row r="237" spans="2:9" ht="15.75" thickBot="1" x14ac:dyDescent="0.3">
      <c r="B237" s="34" t="str">
        <f t="shared" si="22"/>
        <v/>
      </c>
      <c r="C237" s="35" t="str">
        <f t="shared" si="18"/>
        <v/>
      </c>
      <c r="D237" s="36" t="str">
        <f t="shared" si="19"/>
        <v/>
      </c>
      <c r="E237" s="37" t="str">
        <f>IF(COUNT(B237)=1,SUM($H$10:$H237),"")</f>
        <v/>
      </c>
      <c r="F237" s="38" t="str">
        <f t="shared" si="20"/>
        <v/>
      </c>
      <c r="G237" s="39" t="str">
        <f t="shared" si="21"/>
        <v/>
      </c>
      <c r="H237" s="13" t="e">
        <f t="shared" si="23"/>
        <v>#VALUE!</v>
      </c>
      <c r="I237" s="8"/>
    </row>
    <row r="238" spans="2:9" x14ac:dyDescent="0.25">
      <c r="B238" s="22" t="str">
        <f t="shared" si="22"/>
        <v/>
      </c>
      <c r="C238" s="23" t="str">
        <f t="shared" ref="C238:C249" si="24">IF(COUNT(B238)=1,DATE(YEAR(C237),MONTH(C237)+1,DAY(C237)),"")</f>
        <v/>
      </c>
      <c r="D238" s="24" t="str">
        <f t="shared" ref="D238:D249" si="25">IF(COUNT(B238)=1,DATE(YEAR(D237),MONTH(D237)+1,DAY(D237)),"")</f>
        <v/>
      </c>
      <c r="E238" s="25" t="str">
        <f>IF(COUNT(B238)=1,SUM($H$10:$H238),"")</f>
        <v/>
      </c>
      <c r="F238" s="26" t="str">
        <f t="shared" ref="F238:F249" si="26">IF(COUNT(B238)=1,B238*$E$4,"")</f>
        <v/>
      </c>
      <c r="G238" s="27" t="str">
        <f t="shared" ref="G238:G249" si="27">IF(COUNT(B238)=1,$E$4*B238+E238,"")</f>
        <v/>
      </c>
      <c r="H238" s="13" t="e">
        <f t="shared" si="23"/>
        <v>#VALUE!</v>
      </c>
      <c r="I238" s="8"/>
    </row>
    <row r="239" spans="2:9" x14ac:dyDescent="0.25">
      <c r="B239" s="14" t="str">
        <f t="shared" si="22"/>
        <v/>
      </c>
      <c r="C239" s="4" t="str">
        <f t="shared" si="24"/>
        <v/>
      </c>
      <c r="D239" s="5" t="str">
        <f t="shared" si="25"/>
        <v/>
      </c>
      <c r="E239" s="7" t="str">
        <f>IF(COUNT(B239)=1,SUM($H$10:$H239),"")</f>
        <v/>
      </c>
      <c r="F239" s="6" t="str">
        <f t="shared" si="26"/>
        <v/>
      </c>
      <c r="G239" s="15" t="str">
        <f t="shared" si="27"/>
        <v/>
      </c>
      <c r="H239" s="13" t="e">
        <f t="shared" si="23"/>
        <v>#VALUE!</v>
      </c>
      <c r="I239" s="8"/>
    </row>
    <row r="240" spans="2:9" x14ac:dyDescent="0.25">
      <c r="B240" s="14" t="str">
        <f t="shared" si="22"/>
        <v/>
      </c>
      <c r="C240" s="4" t="str">
        <f t="shared" si="24"/>
        <v/>
      </c>
      <c r="D240" s="5" t="str">
        <f t="shared" si="25"/>
        <v/>
      </c>
      <c r="E240" s="7" t="str">
        <f>IF(COUNT(B240)=1,SUM($H$10:$H240),"")</f>
        <v/>
      </c>
      <c r="F240" s="6" t="str">
        <f t="shared" si="26"/>
        <v/>
      </c>
      <c r="G240" s="15" t="str">
        <f t="shared" si="27"/>
        <v/>
      </c>
      <c r="H240" s="13" t="e">
        <f t="shared" si="23"/>
        <v>#VALUE!</v>
      </c>
      <c r="I240" s="8"/>
    </row>
    <row r="241" spans="2:9" x14ac:dyDescent="0.25">
      <c r="B241" s="14" t="str">
        <f t="shared" si="22"/>
        <v/>
      </c>
      <c r="C241" s="4" t="str">
        <f t="shared" si="24"/>
        <v/>
      </c>
      <c r="D241" s="5" t="str">
        <f t="shared" si="25"/>
        <v/>
      </c>
      <c r="E241" s="7" t="str">
        <f>IF(COUNT(B241)=1,SUM($H$10:$H241),"")</f>
        <v/>
      </c>
      <c r="F241" s="6" t="str">
        <f t="shared" si="26"/>
        <v/>
      </c>
      <c r="G241" s="15" t="str">
        <f t="shared" si="27"/>
        <v/>
      </c>
      <c r="H241" s="13" t="e">
        <f t="shared" si="23"/>
        <v>#VALUE!</v>
      </c>
      <c r="I241" s="8"/>
    </row>
    <row r="242" spans="2:9" x14ac:dyDescent="0.25">
      <c r="B242" s="14" t="str">
        <f t="shared" si="22"/>
        <v/>
      </c>
      <c r="C242" s="4" t="str">
        <f t="shared" si="24"/>
        <v/>
      </c>
      <c r="D242" s="5" t="str">
        <f t="shared" si="25"/>
        <v/>
      </c>
      <c r="E242" s="7" t="str">
        <f>IF(COUNT(B242)=1,SUM($H$10:$H242),"")</f>
        <v/>
      </c>
      <c r="F242" s="6" t="str">
        <f t="shared" si="26"/>
        <v/>
      </c>
      <c r="G242" s="15" t="str">
        <f t="shared" si="27"/>
        <v/>
      </c>
      <c r="H242" s="13" t="e">
        <f t="shared" si="23"/>
        <v>#VALUE!</v>
      </c>
      <c r="I242" s="8"/>
    </row>
    <row r="243" spans="2:9" x14ac:dyDescent="0.25">
      <c r="B243" s="14" t="str">
        <f t="shared" si="22"/>
        <v/>
      </c>
      <c r="C243" s="4" t="str">
        <f t="shared" si="24"/>
        <v/>
      </c>
      <c r="D243" s="5" t="str">
        <f t="shared" si="25"/>
        <v/>
      </c>
      <c r="E243" s="7" t="str">
        <f>IF(COUNT(B243)=1,SUM($H$10:$H243),"")</f>
        <v/>
      </c>
      <c r="F243" s="6" t="str">
        <f t="shared" si="26"/>
        <v/>
      </c>
      <c r="G243" s="15" t="str">
        <f t="shared" si="27"/>
        <v/>
      </c>
      <c r="H243" s="13" t="e">
        <f t="shared" si="23"/>
        <v>#VALUE!</v>
      </c>
      <c r="I243" s="8"/>
    </row>
    <row r="244" spans="2:9" x14ac:dyDescent="0.25">
      <c r="B244" s="14" t="str">
        <f t="shared" si="22"/>
        <v/>
      </c>
      <c r="C244" s="4" t="str">
        <f t="shared" si="24"/>
        <v/>
      </c>
      <c r="D244" s="5" t="str">
        <f t="shared" si="25"/>
        <v/>
      </c>
      <c r="E244" s="7" t="str">
        <f>IF(COUNT(B244)=1,SUM($H$10:$H244),"")</f>
        <v/>
      </c>
      <c r="F244" s="6" t="str">
        <f t="shared" si="26"/>
        <v/>
      </c>
      <c r="G244" s="15" t="str">
        <f t="shared" si="27"/>
        <v/>
      </c>
      <c r="H244" s="13" t="e">
        <f t="shared" si="23"/>
        <v>#VALUE!</v>
      </c>
      <c r="I244" s="8"/>
    </row>
    <row r="245" spans="2:9" x14ac:dyDescent="0.25">
      <c r="B245" s="14" t="str">
        <f t="shared" si="22"/>
        <v/>
      </c>
      <c r="C245" s="4" t="str">
        <f t="shared" si="24"/>
        <v/>
      </c>
      <c r="D245" s="5" t="str">
        <f t="shared" si="25"/>
        <v/>
      </c>
      <c r="E245" s="7" t="str">
        <f>IF(COUNT(B245)=1,SUM($H$10:$H245),"")</f>
        <v/>
      </c>
      <c r="F245" s="6" t="str">
        <f t="shared" si="26"/>
        <v/>
      </c>
      <c r="G245" s="15" t="str">
        <f t="shared" si="27"/>
        <v/>
      </c>
      <c r="H245" s="13" t="e">
        <f t="shared" si="23"/>
        <v>#VALUE!</v>
      </c>
      <c r="I245" s="8"/>
    </row>
    <row r="246" spans="2:9" x14ac:dyDescent="0.25">
      <c r="B246" s="14" t="str">
        <f t="shared" si="22"/>
        <v/>
      </c>
      <c r="C246" s="4" t="str">
        <f t="shared" si="24"/>
        <v/>
      </c>
      <c r="D246" s="5" t="str">
        <f t="shared" si="25"/>
        <v/>
      </c>
      <c r="E246" s="7" t="str">
        <f>IF(COUNT(B246)=1,SUM($H$10:$H246),"")</f>
        <v/>
      </c>
      <c r="F246" s="6" t="str">
        <f t="shared" si="26"/>
        <v/>
      </c>
      <c r="G246" s="15" t="str">
        <f t="shared" si="27"/>
        <v/>
      </c>
      <c r="H246" s="13" t="e">
        <f t="shared" si="23"/>
        <v>#VALUE!</v>
      </c>
      <c r="I246" s="8"/>
    </row>
    <row r="247" spans="2:9" x14ac:dyDescent="0.25">
      <c r="B247" s="14" t="str">
        <f t="shared" si="22"/>
        <v/>
      </c>
      <c r="C247" s="4" t="str">
        <f t="shared" si="24"/>
        <v/>
      </c>
      <c r="D247" s="5" t="str">
        <f t="shared" si="25"/>
        <v/>
      </c>
      <c r="E247" s="7" t="str">
        <f>IF(COUNT(B247)=1,SUM($H$10:$H247),"")</f>
        <v/>
      </c>
      <c r="F247" s="6" t="str">
        <f t="shared" si="26"/>
        <v/>
      </c>
      <c r="G247" s="15" t="str">
        <f t="shared" si="27"/>
        <v/>
      </c>
      <c r="H247" s="13" t="e">
        <f t="shared" si="23"/>
        <v>#VALUE!</v>
      </c>
      <c r="I247" s="8"/>
    </row>
    <row r="248" spans="2:9" x14ac:dyDescent="0.25">
      <c r="B248" s="14" t="str">
        <f t="shared" si="22"/>
        <v/>
      </c>
      <c r="C248" s="4" t="str">
        <f t="shared" si="24"/>
        <v/>
      </c>
      <c r="D248" s="5" t="str">
        <f t="shared" si="25"/>
        <v/>
      </c>
      <c r="E248" s="7" t="str">
        <f>IF(COUNT(B248)=1,SUM($H$10:$H248),"")</f>
        <v/>
      </c>
      <c r="F248" s="6" t="str">
        <f t="shared" si="26"/>
        <v/>
      </c>
      <c r="G248" s="15" t="str">
        <f t="shared" si="27"/>
        <v/>
      </c>
      <c r="H248" s="13" t="e">
        <f t="shared" si="23"/>
        <v>#VALUE!</v>
      </c>
      <c r="I248" s="8"/>
    </row>
    <row r="249" spans="2:9" ht="15.75" thickBot="1" x14ac:dyDescent="0.3">
      <c r="B249" s="16" t="str">
        <f t="shared" si="22"/>
        <v/>
      </c>
      <c r="C249" s="17" t="str">
        <f t="shared" si="24"/>
        <v/>
      </c>
      <c r="D249" s="18" t="str">
        <f t="shared" si="25"/>
        <v/>
      </c>
      <c r="E249" s="19" t="str">
        <f>IF(COUNT(B249)=1,SUM($H$10:$H249),"")</f>
        <v/>
      </c>
      <c r="F249" s="20" t="str">
        <f t="shared" si="26"/>
        <v/>
      </c>
      <c r="G249" s="21" t="str">
        <f t="shared" si="27"/>
        <v/>
      </c>
      <c r="H249" s="13" t="e">
        <f t="shared" si="23"/>
        <v>#VALUE!</v>
      </c>
      <c r="I249" s="8"/>
    </row>
    <row r="250" spans="2:9" ht="15.75" thickTop="1" x14ac:dyDescent="0.25"/>
  </sheetData>
  <sheetProtection password="CC0F" sheet="1" objects="1" scenarios="1"/>
  <mergeCells count="11">
    <mergeCell ref="F3:F4"/>
    <mergeCell ref="G3:G4"/>
    <mergeCell ref="E8:E9"/>
    <mergeCell ref="F8:F9"/>
    <mergeCell ref="G8:G9"/>
    <mergeCell ref="B3:D3"/>
    <mergeCell ref="B4:D4"/>
    <mergeCell ref="B5:D5"/>
    <mergeCell ref="B6:D6"/>
    <mergeCell ref="B8:B9"/>
    <mergeCell ref="C8:D8"/>
  </mergeCells>
  <phoneticPr fontId="5" type="noConversion"/>
  <dataValidations count="1">
    <dataValidation type="list" allowBlank="1" showInputMessage="1" showErrorMessage="1" sqref="E6">
      <formula1>"1,2,3,4,5,6,7,8,9,10,11,12,13,14,15,16,17,18,19,20"</formula1>
    </dataValidation>
  </dataValidations>
  <printOptions horizontalCentered="1"/>
  <pageMargins left="0.70866141732283472" right="0.70866141732283472" top="0.39370078740157483" bottom="0.55118110236220474" header="0.31496062992125984" footer="0.31496062992125984"/>
  <pageSetup paperSize="9" scale="96" fitToHeight="0" orientation="portrait" horizontalDpi="4294967293" verticalDpi="300" r:id="rId1"/>
  <headerFooter>
    <oddFooter>&amp;C&amp;"微軟正黑體,標準"&amp;P/&amp;N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2</vt:i4>
      </vt:variant>
    </vt:vector>
  </HeadingPairs>
  <TitlesOfParts>
    <vt:vector size="3" baseType="lpstr">
      <vt:lpstr>定期定額試算表</vt:lpstr>
      <vt:lpstr>定期定額試算表!Print_Area</vt:lpstr>
      <vt:lpstr>定期定額試算表!Print_Titles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Gitanes</dc:creator>
  <cp:lastModifiedBy>ivenss</cp:lastModifiedBy>
  <cp:lastPrinted>2009-06-06T17:19:53Z</cp:lastPrinted>
  <dcterms:created xsi:type="dcterms:W3CDTF">2008-01-25T05:40:59Z</dcterms:created>
  <dcterms:modified xsi:type="dcterms:W3CDTF">2013-10-10T15:14:43Z</dcterms:modified>
</cp:coreProperties>
</file>