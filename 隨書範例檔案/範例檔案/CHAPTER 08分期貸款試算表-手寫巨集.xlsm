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venss\Desktop\隨附光碟\隨書範例檔案\範例檔案\"/>
    </mc:Choice>
  </mc:AlternateContent>
  <bookViews>
    <workbookView xWindow="12090" yWindow="195" windowWidth="15555" windowHeight="11145"/>
  </bookViews>
  <sheets>
    <sheet name="分期貸款試算表" sheetId="4" r:id="rId1"/>
  </sheets>
  <calcPr calcId="152511"/>
</workbook>
</file>

<file path=xl/calcChain.xml><?xml version="1.0" encoding="utf-8"?>
<calcChain xmlns="http://schemas.openxmlformats.org/spreadsheetml/2006/main">
  <c r="F6" i="4" l="1"/>
  <c r="C8" i="4" l="1"/>
  <c r="C9" i="4" l="1"/>
  <c r="D8" i="4" l="1"/>
  <c r="D9" i="4" s="1"/>
  <c r="F9" i="4"/>
  <c r="C10" i="4"/>
  <c r="G9" i="4"/>
  <c r="G8" i="4"/>
  <c r="F8" i="4"/>
  <c r="E8" i="4" l="1"/>
  <c r="D10" i="4"/>
  <c r="E9" i="4"/>
  <c r="H8" i="4"/>
  <c r="H9" i="4" s="1"/>
  <c r="G10" i="4"/>
  <c r="F10" i="4"/>
  <c r="E10" i="4" s="1"/>
  <c r="C11" i="4"/>
  <c r="D11" i="4" l="1"/>
  <c r="H10" i="4"/>
  <c r="G11" i="4"/>
  <c r="F11" i="4"/>
  <c r="E11" i="4" s="1"/>
  <c r="C12" i="4"/>
  <c r="D12" i="4" s="1"/>
  <c r="G12" i="4" l="1"/>
  <c r="F12" i="4"/>
  <c r="E12" i="4" s="1"/>
  <c r="H11" i="4"/>
  <c r="C13" i="4"/>
  <c r="D13" i="4" s="1"/>
  <c r="H12" i="4" l="1"/>
  <c r="G13" i="4"/>
  <c r="F13" i="4"/>
  <c r="E13" i="4" s="1"/>
  <c r="C14" i="4"/>
  <c r="D14" i="4" s="1"/>
  <c r="H13" i="4" l="1"/>
  <c r="G14" i="4"/>
  <c r="F14" i="4"/>
  <c r="E14" i="4" s="1"/>
  <c r="C15" i="4"/>
  <c r="D15" i="4" s="1"/>
  <c r="H14" i="4" l="1"/>
  <c r="G15" i="4"/>
  <c r="F15" i="4"/>
  <c r="E15" i="4" s="1"/>
  <c r="C16" i="4"/>
  <c r="D16" i="4" s="1"/>
  <c r="H15" i="4" l="1"/>
  <c r="G16" i="4"/>
  <c r="F16" i="4"/>
  <c r="E16" i="4" s="1"/>
  <c r="C17" i="4"/>
  <c r="D17" i="4" s="1"/>
  <c r="H16" i="4" l="1"/>
  <c r="G17" i="4"/>
  <c r="F17" i="4"/>
  <c r="E17" i="4" s="1"/>
  <c r="C18" i="4"/>
  <c r="D18" i="4" s="1"/>
  <c r="H17" i="4" l="1"/>
  <c r="G18" i="4"/>
  <c r="F18" i="4"/>
  <c r="E18" i="4" s="1"/>
  <c r="C19" i="4"/>
  <c r="D19" i="4" s="1"/>
  <c r="G19" i="4" l="1"/>
  <c r="F19" i="4"/>
  <c r="E19" i="4" s="1"/>
  <c r="H18" i="4"/>
  <c r="C20" i="4"/>
  <c r="D20" i="4" s="1"/>
  <c r="H19" i="4" l="1"/>
  <c r="G20" i="4"/>
  <c r="F20" i="4"/>
  <c r="E20" i="4" s="1"/>
  <c r="C21" i="4"/>
  <c r="D21" i="4" s="1"/>
  <c r="H20" i="4" l="1"/>
  <c r="G21" i="4"/>
  <c r="F21" i="4"/>
  <c r="E21" i="4" s="1"/>
  <c r="C22" i="4"/>
  <c r="D22" i="4" s="1"/>
  <c r="G22" i="4" l="1"/>
  <c r="F22" i="4"/>
  <c r="E22" i="4" s="1"/>
  <c r="H21" i="4"/>
  <c r="C23" i="4"/>
  <c r="D23" i="4" s="1"/>
  <c r="H22" i="4" l="1"/>
  <c r="G23" i="4"/>
  <c r="F23" i="4"/>
  <c r="E23" i="4" s="1"/>
  <c r="C24" i="4"/>
  <c r="D24" i="4" s="1"/>
  <c r="H23" i="4" l="1"/>
  <c r="G24" i="4"/>
  <c r="F24" i="4"/>
  <c r="E24" i="4" s="1"/>
  <c r="C25" i="4"/>
  <c r="D25" i="4" s="1"/>
  <c r="H24" i="4" l="1"/>
  <c r="G25" i="4"/>
  <c r="F25" i="4"/>
  <c r="C26" i="4"/>
  <c r="D26" i="4" s="1"/>
  <c r="H25" i="4" l="1"/>
  <c r="E25" i="4"/>
  <c r="G26" i="4"/>
  <c r="F26" i="4"/>
  <c r="C27" i="4"/>
  <c r="D27" i="4" s="1"/>
  <c r="H26" i="4" l="1"/>
  <c r="E26" i="4"/>
  <c r="G27" i="4"/>
  <c r="F27" i="4"/>
  <c r="C28" i="4"/>
  <c r="D28" i="4" s="1"/>
  <c r="H27" i="4" l="1"/>
  <c r="G28" i="4"/>
  <c r="F28" i="4"/>
  <c r="E27" i="4"/>
  <c r="C29" i="4"/>
  <c r="D29" i="4" s="1"/>
  <c r="E28" i="4" l="1"/>
  <c r="H28" i="4"/>
  <c r="G29" i="4"/>
  <c r="F29" i="4"/>
  <c r="C30" i="4"/>
  <c r="D30" i="4" s="1"/>
  <c r="H29" i="4" l="1"/>
  <c r="E29" i="4"/>
  <c r="G30" i="4"/>
  <c r="F30" i="4"/>
  <c r="E30" i="4" s="1"/>
  <c r="C31" i="4"/>
  <c r="D31" i="4" s="1"/>
  <c r="H30" i="4" l="1"/>
  <c r="G31" i="4"/>
  <c r="F31" i="4"/>
  <c r="E31" i="4" s="1"/>
  <c r="C32" i="4"/>
  <c r="D32" i="4" s="1"/>
  <c r="H31" i="4" l="1"/>
  <c r="G32" i="4"/>
  <c r="F32" i="4"/>
  <c r="E32" i="4" s="1"/>
  <c r="C33" i="4"/>
  <c r="D33" i="4" s="1"/>
  <c r="H32" i="4" l="1"/>
  <c r="F33" i="4"/>
  <c r="E33" i="4" s="1"/>
  <c r="G33" i="4"/>
  <c r="C34" i="4"/>
  <c r="D34" i="4" s="1"/>
  <c r="H33" i="4" l="1"/>
  <c r="G34" i="4"/>
  <c r="F34" i="4"/>
  <c r="E34" i="4" s="1"/>
  <c r="C35" i="4"/>
  <c r="D35" i="4" s="1"/>
  <c r="H34" i="4" l="1"/>
  <c r="G35" i="4"/>
  <c r="F35" i="4"/>
  <c r="E35" i="4" s="1"/>
  <c r="C36" i="4"/>
  <c r="D36" i="4" s="1"/>
  <c r="H35" i="4" l="1"/>
  <c r="G36" i="4"/>
  <c r="F36" i="4"/>
  <c r="E36" i="4" s="1"/>
  <c r="C37" i="4"/>
  <c r="D37" i="4" s="1"/>
  <c r="H36" i="4" l="1"/>
  <c r="F37" i="4"/>
  <c r="E37" i="4" s="1"/>
  <c r="G37" i="4"/>
  <c r="C38" i="4"/>
  <c r="D38" i="4" s="1"/>
  <c r="H37" i="4" l="1"/>
  <c r="G38" i="4"/>
  <c r="F38" i="4"/>
  <c r="E38" i="4" s="1"/>
  <c r="C39" i="4"/>
  <c r="D39" i="4" s="1"/>
  <c r="G39" i="4" l="1"/>
  <c r="F39" i="4"/>
  <c r="E39" i="4" s="1"/>
  <c r="H38" i="4"/>
  <c r="C40" i="4"/>
  <c r="D40" i="4" s="1"/>
  <c r="H39" i="4" l="1"/>
  <c r="G40" i="4"/>
  <c r="F40" i="4"/>
  <c r="E40" i="4" s="1"/>
  <c r="C41" i="4"/>
  <c r="D41" i="4" s="1"/>
  <c r="F41" i="4" l="1"/>
  <c r="E41" i="4" s="1"/>
  <c r="G41" i="4"/>
  <c r="H40" i="4"/>
  <c r="C42" i="4"/>
  <c r="D42" i="4" s="1"/>
  <c r="H41" i="4" l="1"/>
  <c r="G42" i="4"/>
  <c r="F42" i="4"/>
  <c r="E42" i="4" s="1"/>
  <c r="C43" i="4"/>
  <c r="D43" i="4" s="1"/>
  <c r="G43" i="4" l="1"/>
  <c r="F43" i="4"/>
  <c r="E43" i="4" s="1"/>
  <c r="H42" i="4"/>
  <c r="C44" i="4"/>
  <c r="D44" i="4" s="1"/>
  <c r="H43" i="4" l="1"/>
  <c r="G44" i="4"/>
  <c r="F44" i="4"/>
  <c r="E44" i="4" s="1"/>
  <c r="C45" i="4"/>
  <c r="D45" i="4" s="1"/>
  <c r="F45" i="4" l="1"/>
  <c r="E45" i="4" s="1"/>
  <c r="G45" i="4"/>
  <c r="H44" i="4"/>
  <c r="C46" i="4"/>
  <c r="D46" i="4" s="1"/>
  <c r="H45" i="4" l="1"/>
  <c r="G46" i="4"/>
  <c r="F46" i="4"/>
  <c r="E46" i="4" s="1"/>
  <c r="C47" i="4"/>
  <c r="D47" i="4" s="1"/>
  <c r="G47" i="4" l="1"/>
  <c r="F47" i="4"/>
  <c r="E47" i="4" s="1"/>
  <c r="H46" i="4"/>
  <c r="C48" i="4"/>
  <c r="D48" i="4" s="1"/>
  <c r="H47" i="4" l="1"/>
  <c r="G48" i="4"/>
  <c r="F48" i="4"/>
  <c r="E48" i="4" s="1"/>
  <c r="C49" i="4"/>
  <c r="D49" i="4" s="1"/>
  <c r="F49" i="4" l="1"/>
  <c r="E49" i="4" s="1"/>
  <c r="G49" i="4"/>
  <c r="H48" i="4"/>
  <c r="C50" i="4"/>
  <c r="D50" i="4" s="1"/>
  <c r="H49" i="4" l="1"/>
  <c r="G50" i="4"/>
  <c r="F50" i="4"/>
  <c r="E50" i="4" s="1"/>
  <c r="C51" i="4"/>
  <c r="D51" i="4" s="1"/>
  <c r="G51" i="4" l="1"/>
  <c r="F51" i="4"/>
  <c r="E51" i="4" s="1"/>
  <c r="H50" i="4"/>
  <c r="C52" i="4"/>
  <c r="D52" i="4" s="1"/>
  <c r="H51" i="4" l="1"/>
  <c r="G52" i="4"/>
  <c r="F52" i="4"/>
  <c r="E52" i="4" s="1"/>
  <c r="C53" i="4"/>
  <c r="D53" i="4" s="1"/>
  <c r="F53" i="4" l="1"/>
  <c r="E53" i="4" s="1"/>
  <c r="G53" i="4"/>
  <c r="H52" i="4"/>
  <c r="C54" i="4"/>
  <c r="D54" i="4" s="1"/>
  <c r="H53" i="4" l="1"/>
  <c r="G54" i="4"/>
  <c r="F54" i="4"/>
  <c r="E54" i="4" s="1"/>
  <c r="C55" i="4"/>
  <c r="D55" i="4" s="1"/>
  <c r="G55" i="4" l="1"/>
  <c r="F55" i="4"/>
  <c r="E55" i="4" s="1"/>
  <c r="H54" i="4"/>
  <c r="C56" i="4"/>
  <c r="D56" i="4" s="1"/>
  <c r="H55" i="4" l="1"/>
  <c r="G56" i="4"/>
  <c r="F56" i="4"/>
  <c r="E56" i="4" s="1"/>
  <c r="C57" i="4"/>
  <c r="D57" i="4" s="1"/>
  <c r="G57" i="4" l="1"/>
  <c r="F57" i="4"/>
  <c r="E57" i="4" s="1"/>
  <c r="H56" i="4"/>
  <c r="C58" i="4"/>
  <c r="D58" i="4" s="1"/>
  <c r="H57" i="4" l="1"/>
  <c r="G58" i="4"/>
  <c r="F58" i="4"/>
  <c r="E58" i="4" s="1"/>
  <c r="C59" i="4"/>
  <c r="D59" i="4" s="1"/>
  <c r="H58" i="4" l="1"/>
  <c r="G59" i="4"/>
  <c r="F59" i="4"/>
  <c r="E59" i="4" s="1"/>
  <c r="C60" i="4"/>
  <c r="D60" i="4" s="1"/>
  <c r="H59" i="4" l="1"/>
  <c r="G60" i="4"/>
  <c r="F60" i="4"/>
  <c r="E60" i="4" s="1"/>
  <c r="C61" i="4"/>
  <c r="D61" i="4" s="1"/>
  <c r="G61" i="4" l="1"/>
  <c r="F61" i="4"/>
  <c r="E61" i="4" s="1"/>
  <c r="H60" i="4"/>
  <c r="C62" i="4"/>
  <c r="D62" i="4" s="1"/>
  <c r="H61" i="4" l="1"/>
  <c r="G62" i="4"/>
  <c r="F62" i="4"/>
  <c r="E62" i="4" s="1"/>
  <c r="C63" i="4"/>
  <c r="D63" i="4" s="1"/>
  <c r="G63" i="4" l="1"/>
  <c r="F63" i="4"/>
  <c r="E63" i="4" s="1"/>
  <c r="H62" i="4"/>
  <c r="C64" i="4"/>
  <c r="D64" i="4" s="1"/>
  <c r="H63" i="4" l="1"/>
  <c r="G64" i="4"/>
  <c r="F64" i="4"/>
  <c r="E64" i="4" s="1"/>
  <c r="C65" i="4"/>
  <c r="D65" i="4" s="1"/>
  <c r="G65" i="4" l="1"/>
  <c r="F65" i="4"/>
  <c r="E65" i="4" s="1"/>
  <c r="H64" i="4"/>
  <c r="C66" i="4"/>
  <c r="D66" i="4" s="1"/>
  <c r="H65" i="4" l="1"/>
  <c r="G66" i="4"/>
  <c r="F66" i="4"/>
  <c r="E66" i="4" s="1"/>
  <c r="C67" i="4"/>
  <c r="D67" i="4" s="1"/>
  <c r="G67" i="4" l="1"/>
  <c r="F67" i="4"/>
  <c r="E67" i="4" s="1"/>
  <c r="H66" i="4"/>
  <c r="C68" i="4"/>
  <c r="D68" i="4" s="1"/>
  <c r="H67" i="4" l="1"/>
  <c r="G68" i="4"/>
  <c r="F68" i="4"/>
  <c r="E68" i="4" s="1"/>
  <c r="C69" i="4"/>
  <c r="D69" i="4" s="1"/>
  <c r="H68" i="4" l="1"/>
  <c r="G69" i="4"/>
  <c r="F69" i="4"/>
  <c r="E69" i="4" s="1"/>
  <c r="C70" i="4"/>
  <c r="D70" i="4" s="1"/>
  <c r="G70" i="4" l="1"/>
  <c r="F70" i="4"/>
  <c r="E70" i="4" s="1"/>
  <c r="H69" i="4"/>
  <c r="C71" i="4"/>
  <c r="D71" i="4" s="1"/>
  <c r="H70" i="4" l="1"/>
  <c r="G71" i="4"/>
  <c r="F71" i="4"/>
  <c r="E71" i="4" s="1"/>
  <c r="C72" i="4"/>
  <c r="D72" i="4" s="1"/>
  <c r="H71" i="4" l="1"/>
  <c r="G72" i="4"/>
  <c r="F72" i="4"/>
  <c r="E72" i="4" s="1"/>
  <c r="C73" i="4"/>
  <c r="D73" i="4" s="1"/>
  <c r="H72" i="4" l="1"/>
  <c r="G73" i="4"/>
  <c r="F73" i="4"/>
  <c r="E73" i="4" s="1"/>
  <c r="C74" i="4"/>
  <c r="D74" i="4" s="1"/>
  <c r="G74" i="4" l="1"/>
  <c r="F74" i="4"/>
  <c r="E74" i="4" s="1"/>
  <c r="H73" i="4"/>
  <c r="C75" i="4"/>
  <c r="D75" i="4" s="1"/>
  <c r="H74" i="4" l="1"/>
  <c r="G75" i="4"/>
  <c r="F75" i="4"/>
  <c r="E75" i="4" s="1"/>
  <c r="C76" i="4"/>
  <c r="D76" i="4" s="1"/>
  <c r="G76" i="4" l="1"/>
  <c r="F76" i="4"/>
  <c r="E76" i="4" s="1"/>
  <c r="H75" i="4"/>
  <c r="C77" i="4"/>
  <c r="D77" i="4" s="1"/>
  <c r="H76" i="4" l="1"/>
  <c r="G77" i="4"/>
  <c r="F77" i="4"/>
  <c r="E77" i="4" s="1"/>
  <c r="C78" i="4"/>
  <c r="D78" i="4" s="1"/>
  <c r="G78" i="4" l="1"/>
  <c r="F78" i="4"/>
  <c r="E78" i="4" s="1"/>
  <c r="H77" i="4"/>
  <c r="C79" i="4"/>
  <c r="D79" i="4" s="1"/>
  <c r="H78" i="4" l="1"/>
  <c r="G79" i="4"/>
  <c r="F79" i="4"/>
  <c r="E79" i="4" s="1"/>
  <c r="C80" i="4"/>
  <c r="D80" i="4" s="1"/>
  <c r="G80" i="4" l="1"/>
  <c r="F80" i="4"/>
  <c r="E80" i="4" s="1"/>
  <c r="H79" i="4"/>
  <c r="C81" i="4"/>
  <c r="D81" i="4" s="1"/>
  <c r="H80" i="4" l="1"/>
  <c r="G81" i="4"/>
  <c r="F81" i="4"/>
  <c r="E81" i="4" s="1"/>
  <c r="C82" i="4"/>
  <c r="D82" i="4" s="1"/>
  <c r="G82" i="4" l="1"/>
  <c r="F82" i="4"/>
  <c r="E82" i="4" s="1"/>
  <c r="H81" i="4"/>
  <c r="C83" i="4"/>
  <c r="D83" i="4" s="1"/>
  <c r="H82" i="4" l="1"/>
  <c r="G83" i="4"/>
  <c r="F83" i="4"/>
  <c r="E83" i="4" s="1"/>
  <c r="C84" i="4"/>
  <c r="D84" i="4" s="1"/>
  <c r="H83" i="4" l="1"/>
  <c r="G84" i="4"/>
  <c r="F84" i="4"/>
  <c r="E84" i="4" s="1"/>
  <c r="C85" i="4"/>
  <c r="D85" i="4" s="1"/>
  <c r="H84" i="4" l="1"/>
  <c r="G85" i="4"/>
  <c r="F85" i="4"/>
  <c r="E85" i="4" s="1"/>
  <c r="C86" i="4"/>
  <c r="D86" i="4" s="1"/>
  <c r="H85" i="4" l="1"/>
  <c r="G86" i="4"/>
  <c r="F86" i="4"/>
  <c r="E86" i="4" s="1"/>
  <c r="C87" i="4"/>
  <c r="D87" i="4" s="1"/>
  <c r="H86" i="4" l="1"/>
  <c r="G87" i="4"/>
  <c r="F87" i="4"/>
  <c r="E87" i="4" s="1"/>
  <c r="C88" i="4"/>
  <c r="D88" i="4" s="1"/>
  <c r="G88" i="4" l="1"/>
  <c r="F88" i="4"/>
  <c r="E88" i="4" s="1"/>
  <c r="H87" i="4"/>
  <c r="C89" i="4"/>
  <c r="D89" i="4" s="1"/>
  <c r="H88" i="4" l="1"/>
  <c r="G89" i="4"/>
  <c r="F89" i="4"/>
  <c r="E89" i="4" s="1"/>
  <c r="C90" i="4"/>
  <c r="D90" i="4" s="1"/>
  <c r="G90" i="4" l="1"/>
  <c r="F90" i="4"/>
  <c r="E90" i="4" s="1"/>
  <c r="H89" i="4"/>
  <c r="C91" i="4"/>
  <c r="D91" i="4" s="1"/>
  <c r="H90" i="4" l="1"/>
  <c r="G91" i="4"/>
  <c r="F91" i="4"/>
  <c r="E91" i="4" s="1"/>
  <c r="C92" i="4"/>
  <c r="D92" i="4" s="1"/>
  <c r="G92" i="4" l="1"/>
  <c r="F92" i="4"/>
  <c r="E92" i="4" s="1"/>
  <c r="H91" i="4"/>
  <c r="C93" i="4"/>
  <c r="D93" i="4" s="1"/>
  <c r="H92" i="4" l="1"/>
  <c r="G93" i="4"/>
  <c r="F93" i="4"/>
  <c r="E93" i="4" s="1"/>
  <c r="C94" i="4"/>
  <c r="D94" i="4" s="1"/>
  <c r="G94" i="4" l="1"/>
  <c r="F94" i="4"/>
  <c r="E94" i="4" s="1"/>
  <c r="H93" i="4"/>
  <c r="C95" i="4"/>
  <c r="D95" i="4" s="1"/>
  <c r="H94" i="4" l="1"/>
  <c r="G95" i="4"/>
  <c r="F95" i="4"/>
  <c r="E95" i="4" s="1"/>
  <c r="C96" i="4"/>
  <c r="D96" i="4" s="1"/>
  <c r="G96" i="4" l="1"/>
  <c r="F96" i="4"/>
  <c r="E96" i="4" s="1"/>
  <c r="H95" i="4"/>
  <c r="C97" i="4"/>
  <c r="D97" i="4" s="1"/>
  <c r="H96" i="4" l="1"/>
  <c r="G97" i="4"/>
  <c r="F97" i="4"/>
  <c r="E97" i="4" s="1"/>
  <c r="C98" i="4"/>
  <c r="D98" i="4" s="1"/>
  <c r="G98" i="4" l="1"/>
  <c r="F98" i="4"/>
  <c r="E98" i="4" s="1"/>
  <c r="H97" i="4"/>
  <c r="C99" i="4"/>
  <c r="D99" i="4" s="1"/>
  <c r="H98" i="4" l="1"/>
  <c r="G99" i="4"/>
  <c r="F99" i="4"/>
  <c r="E99" i="4" s="1"/>
  <c r="C100" i="4"/>
  <c r="D100" i="4" s="1"/>
  <c r="G100" i="4" l="1"/>
  <c r="F100" i="4"/>
  <c r="E100" i="4" s="1"/>
  <c r="H99" i="4"/>
  <c r="C101" i="4"/>
  <c r="D101" i="4" s="1"/>
  <c r="H100" i="4" l="1"/>
  <c r="G101" i="4"/>
  <c r="F101" i="4"/>
  <c r="E101" i="4" s="1"/>
  <c r="C102" i="4"/>
  <c r="D102" i="4" s="1"/>
  <c r="H101" i="4" l="1"/>
  <c r="G102" i="4"/>
  <c r="F102" i="4"/>
  <c r="E102" i="4" s="1"/>
  <c r="C103" i="4"/>
  <c r="D103" i="4" s="1"/>
  <c r="H102" i="4" l="1"/>
  <c r="G103" i="4"/>
  <c r="F103" i="4"/>
  <c r="E103" i="4" s="1"/>
  <c r="C104" i="4"/>
  <c r="D104" i="4" s="1"/>
  <c r="H103" i="4" l="1"/>
  <c r="G104" i="4"/>
  <c r="F104" i="4"/>
  <c r="E104" i="4" s="1"/>
  <c r="C105" i="4"/>
  <c r="D105" i="4" s="1"/>
  <c r="H104" i="4" l="1"/>
  <c r="G105" i="4"/>
  <c r="F105" i="4"/>
  <c r="E105" i="4" s="1"/>
  <c r="C106" i="4"/>
  <c r="D106" i="4" s="1"/>
  <c r="G106" i="4" l="1"/>
  <c r="F106" i="4"/>
  <c r="E106" i="4" s="1"/>
  <c r="H105" i="4"/>
  <c r="C107" i="4"/>
  <c r="D107" i="4" s="1"/>
  <c r="H106" i="4" l="1"/>
  <c r="G107" i="4"/>
  <c r="F107" i="4"/>
  <c r="E107" i="4" s="1"/>
  <c r="C108" i="4"/>
  <c r="D108" i="4" s="1"/>
  <c r="G108" i="4" l="1"/>
  <c r="F108" i="4"/>
  <c r="E108" i="4" s="1"/>
  <c r="H107" i="4"/>
  <c r="C109" i="4"/>
  <c r="D109" i="4" s="1"/>
  <c r="H108" i="4" l="1"/>
  <c r="G109" i="4"/>
  <c r="F109" i="4"/>
  <c r="E109" i="4" s="1"/>
  <c r="C110" i="4"/>
  <c r="D110" i="4" s="1"/>
  <c r="H109" i="4" l="1"/>
  <c r="G110" i="4"/>
  <c r="F110" i="4"/>
  <c r="E110" i="4" s="1"/>
  <c r="C111" i="4"/>
  <c r="D111" i="4" s="1"/>
  <c r="H110" i="4" l="1"/>
  <c r="G111" i="4"/>
  <c r="F111" i="4"/>
  <c r="E111" i="4" s="1"/>
  <c r="C112" i="4"/>
  <c r="D112" i="4" s="1"/>
  <c r="G112" i="4" l="1"/>
  <c r="F112" i="4"/>
  <c r="E112" i="4" s="1"/>
  <c r="H111" i="4"/>
  <c r="C113" i="4"/>
  <c r="D113" i="4" s="1"/>
  <c r="H112" i="4" l="1"/>
  <c r="G113" i="4"/>
  <c r="F113" i="4"/>
  <c r="E113" i="4" s="1"/>
  <c r="C114" i="4"/>
  <c r="D114" i="4" s="1"/>
  <c r="H113" i="4" l="1"/>
  <c r="G114" i="4"/>
  <c r="F114" i="4"/>
  <c r="E114" i="4" s="1"/>
  <c r="C115" i="4"/>
  <c r="D115" i="4" s="1"/>
  <c r="H114" i="4" l="1"/>
  <c r="G115" i="4"/>
  <c r="F115" i="4"/>
  <c r="E115" i="4" s="1"/>
  <c r="C116" i="4"/>
  <c r="D116" i="4" s="1"/>
  <c r="H115" i="4" l="1"/>
  <c r="G116" i="4"/>
  <c r="F116" i="4"/>
  <c r="E116" i="4" s="1"/>
  <c r="C117" i="4"/>
  <c r="D117" i="4" s="1"/>
  <c r="H116" i="4" l="1"/>
  <c r="G117" i="4"/>
  <c r="F117" i="4"/>
  <c r="E117" i="4" s="1"/>
  <c r="C118" i="4"/>
  <c r="D118" i="4" s="1"/>
  <c r="G118" i="4" l="1"/>
  <c r="F118" i="4"/>
  <c r="E118" i="4" s="1"/>
  <c r="H117" i="4"/>
  <c r="C119" i="4"/>
  <c r="D119" i="4" s="1"/>
  <c r="H118" i="4" l="1"/>
  <c r="G119" i="4"/>
  <c r="F119" i="4"/>
  <c r="E119" i="4" s="1"/>
  <c r="C120" i="4"/>
  <c r="D120" i="4" s="1"/>
  <c r="G120" i="4" l="1"/>
  <c r="F120" i="4"/>
  <c r="E120" i="4" s="1"/>
  <c r="H119" i="4"/>
  <c r="C121" i="4"/>
  <c r="D121" i="4" s="1"/>
  <c r="H120" i="4" l="1"/>
  <c r="G121" i="4"/>
  <c r="F121" i="4"/>
  <c r="E121" i="4" s="1"/>
  <c r="C122" i="4"/>
  <c r="D122" i="4" s="1"/>
  <c r="H121" i="4" l="1"/>
  <c r="G122" i="4"/>
  <c r="F122" i="4"/>
  <c r="E122" i="4" s="1"/>
  <c r="C123" i="4"/>
  <c r="D123" i="4" s="1"/>
  <c r="H122" i="4" l="1"/>
  <c r="G123" i="4"/>
  <c r="F123" i="4"/>
  <c r="E123" i="4" s="1"/>
  <c r="C124" i="4"/>
  <c r="D124" i="4" s="1"/>
  <c r="G124" i="4" l="1"/>
  <c r="F124" i="4"/>
  <c r="E124" i="4" s="1"/>
  <c r="H123" i="4"/>
  <c r="C125" i="4"/>
  <c r="D125" i="4" s="1"/>
  <c r="H124" i="4" l="1"/>
  <c r="G125" i="4"/>
  <c r="F125" i="4"/>
  <c r="E125" i="4" s="1"/>
  <c r="C126" i="4"/>
  <c r="D126" i="4" s="1"/>
  <c r="H125" i="4" l="1"/>
  <c r="G126" i="4"/>
  <c r="F126" i="4"/>
  <c r="E126" i="4" s="1"/>
  <c r="C127" i="4"/>
  <c r="D127" i="4" s="1"/>
  <c r="H126" i="4" l="1"/>
  <c r="G127" i="4"/>
  <c r="F127" i="4"/>
  <c r="E127" i="4" s="1"/>
  <c r="C128" i="4"/>
  <c r="D128" i="4" s="1"/>
  <c r="H127" i="4" l="1"/>
  <c r="G128" i="4"/>
  <c r="F128" i="4"/>
  <c r="E128" i="4" s="1"/>
  <c r="C129" i="4"/>
  <c r="D129" i="4" s="1"/>
  <c r="H128" i="4" l="1"/>
  <c r="G129" i="4"/>
  <c r="F129" i="4"/>
  <c r="E129" i="4" s="1"/>
  <c r="C130" i="4"/>
  <c r="D130" i="4" s="1"/>
  <c r="G130" i="4" l="1"/>
  <c r="F130" i="4"/>
  <c r="E130" i="4" s="1"/>
  <c r="H129" i="4"/>
  <c r="C131" i="4"/>
  <c r="D131" i="4" s="1"/>
  <c r="H130" i="4" l="1"/>
  <c r="G131" i="4"/>
  <c r="F131" i="4"/>
  <c r="E131" i="4" s="1"/>
  <c r="C132" i="4"/>
  <c r="D132" i="4" s="1"/>
  <c r="G132" i="4" l="1"/>
  <c r="F132" i="4"/>
  <c r="E132" i="4" s="1"/>
  <c r="H131" i="4"/>
  <c r="C133" i="4"/>
  <c r="D133" i="4" s="1"/>
  <c r="H132" i="4" l="1"/>
  <c r="G133" i="4"/>
  <c r="F133" i="4"/>
  <c r="E133" i="4" s="1"/>
  <c r="C134" i="4"/>
  <c r="D134" i="4" s="1"/>
  <c r="G134" i="4" l="1"/>
  <c r="F134" i="4"/>
  <c r="E134" i="4" s="1"/>
  <c r="H133" i="4"/>
  <c r="C135" i="4"/>
  <c r="D135" i="4" s="1"/>
  <c r="H134" i="4" l="1"/>
  <c r="G135" i="4"/>
  <c r="F135" i="4"/>
  <c r="E135" i="4" s="1"/>
  <c r="C136" i="4"/>
  <c r="D136" i="4" s="1"/>
  <c r="G136" i="4" l="1"/>
  <c r="F136" i="4"/>
  <c r="E136" i="4" s="1"/>
  <c r="H135" i="4"/>
  <c r="C137" i="4"/>
  <c r="D137" i="4" s="1"/>
  <c r="H136" i="4" l="1"/>
  <c r="G137" i="4"/>
  <c r="F137" i="4"/>
  <c r="E137" i="4" s="1"/>
  <c r="C138" i="4"/>
  <c r="D138" i="4" s="1"/>
  <c r="G138" i="4" l="1"/>
  <c r="F138" i="4"/>
  <c r="E138" i="4" s="1"/>
  <c r="H137" i="4"/>
  <c r="C139" i="4"/>
  <c r="D139" i="4" s="1"/>
  <c r="H138" i="4" l="1"/>
  <c r="G139" i="4"/>
  <c r="F139" i="4"/>
  <c r="E139" i="4" s="1"/>
  <c r="C140" i="4"/>
  <c r="D140" i="4" s="1"/>
  <c r="G140" i="4" l="1"/>
  <c r="F140" i="4"/>
  <c r="E140" i="4" s="1"/>
  <c r="H139" i="4"/>
  <c r="C141" i="4"/>
  <c r="D141" i="4" s="1"/>
  <c r="H140" i="4" l="1"/>
  <c r="G141" i="4"/>
  <c r="F141" i="4"/>
  <c r="E141" i="4" s="1"/>
  <c r="C142" i="4"/>
  <c r="D142" i="4" s="1"/>
  <c r="G142" i="4" l="1"/>
  <c r="F142" i="4"/>
  <c r="E142" i="4" s="1"/>
  <c r="H141" i="4"/>
  <c r="C143" i="4"/>
  <c r="D143" i="4" s="1"/>
  <c r="H142" i="4" l="1"/>
  <c r="G143" i="4"/>
  <c r="F143" i="4"/>
  <c r="E143" i="4" s="1"/>
  <c r="C144" i="4"/>
  <c r="D144" i="4" s="1"/>
  <c r="G144" i="4" l="1"/>
  <c r="F144" i="4"/>
  <c r="E144" i="4" s="1"/>
  <c r="H143" i="4"/>
  <c r="C145" i="4"/>
  <c r="D145" i="4" s="1"/>
  <c r="H144" i="4" l="1"/>
  <c r="G145" i="4"/>
  <c r="F145" i="4"/>
  <c r="E145" i="4" s="1"/>
  <c r="C146" i="4"/>
  <c r="D146" i="4" s="1"/>
  <c r="H145" i="4" l="1"/>
  <c r="G146" i="4"/>
  <c r="F146" i="4"/>
  <c r="E146" i="4" s="1"/>
  <c r="C147" i="4"/>
  <c r="D147" i="4" s="1"/>
  <c r="H146" i="4" l="1"/>
  <c r="G147" i="4"/>
  <c r="F147" i="4"/>
  <c r="E147" i="4" s="1"/>
  <c r="C148" i="4"/>
  <c r="D148" i="4" s="1"/>
  <c r="H147" i="4" l="1"/>
  <c r="G148" i="4"/>
  <c r="F148" i="4"/>
  <c r="E148" i="4" s="1"/>
  <c r="C149" i="4"/>
  <c r="D149" i="4" s="1"/>
  <c r="H148" i="4" l="1"/>
  <c r="G149" i="4"/>
  <c r="F149" i="4"/>
  <c r="E149" i="4" s="1"/>
  <c r="C150" i="4"/>
  <c r="D150" i="4" s="1"/>
  <c r="H149" i="4" l="1"/>
  <c r="G150" i="4"/>
  <c r="F150" i="4"/>
  <c r="E150" i="4" s="1"/>
  <c r="C151" i="4"/>
  <c r="D151" i="4" s="1"/>
  <c r="G151" i="4" l="1"/>
  <c r="F151" i="4"/>
  <c r="E151" i="4" s="1"/>
  <c r="H150" i="4"/>
  <c r="C152" i="4"/>
  <c r="D152" i="4" s="1"/>
  <c r="H151" i="4" l="1"/>
  <c r="G152" i="4"/>
  <c r="F152" i="4"/>
  <c r="E152" i="4" s="1"/>
  <c r="C153" i="4"/>
  <c r="D153" i="4" s="1"/>
  <c r="G153" i="4" l="1"/>
  <c r="F153" i="4"/>
  <c r="E153" i="4" s="1"/>
  <c r="H152" i="4"/>
  <c r="C154" i="4"/>
  <c r="D154" i="4" s="1"/>
  <c r="H153" i="4" l="1"/>
  <c r="G154" i="4"/>
  <c r="F154" i="4"/>
  <c r="E154" i="4" s="1"/>
  <c r="C155" i="4"/>
  <c r="D155" i="4" s="1"/>
  <c r="H154" i="4" l="1"/>
  <c r="G155" i="4"/>
  <c r="F155" i="4"/>
  <c r="E155" i="4" s="1"/>
  <c r="C156" i="4"/>
  <c r="D156" i="4" s="1"/>
  <c r="H155" i="4" l="1"/>
  <c r="G156" i="4"/>
  <c r="F156" i="4"/>
  <c r="E156" i="4" s="1"/>
  <c r="C157" i="4"/>
  <c r="D157" i="4" s="1"/>
  <c r="H156" i="4" l="1"/>
  <c r="G157" i="4"/>
  <c r="F157" i="4"/>
  <c r="E157" i="4" s="1"/>
  <c r="C158" i="4"/>
  <c r="D158" i="4" s="1"/>
  <c r="H157" i="4" l="1"/>
  <c r="G158" i="4"/>
  <c r="F158" i="4"/>
  <c r="E158" i="4" s="1"/>
  <c r="C159" i="4"/>
  <c r="D159" i="4" s="1"/>
  <c r="G159" i="4" l="1"/>
  <c r="F159" i="4"/>
  <c r="E159" i="4" s="1"/>
  <c r="H158" i="4"/>
  <c r="C160" i="4"/>
  <c r="D160" i="4" s="1"/>
  <c r="H159" i="4" l="1"/>
  <c r="G160" i="4"/>
  <c r="F160" i="4"/>
  <c r="E160" i="4" s="1"/>
  <c r="C161" i="4"/>
  <c r="D161" i="4" s="1"/>
  <c r="H160" i="4" l="1"/>
  <c r="G161" i="4"/>
  <c r="F161" i="4"/>
  <c r="E161" i="4" s="1"/>
  <c r="C162" i="4"/>
  <c r="D162" i="4" s="1"/>
  <c r="H161" i="4" l="1"/>
  <c r="G162" i="4"/>
  <c r="F162" i="4"/>
  <c r="E162" i="4" s="1"/>
  <c r="C163" i="4"/>
  <c r="D163" i="4" s="1"/>
  <c r="H162" i="4" l="1"/>
  <c r="G163" i="4"/>
  <c r="F163" i="4"/>
  <c r="E163" i="4" s="1"/>
  <c r="C164" i="4"/>
  <c r="D164" i="4" s="1"/>
  <c r="H163" i="4" l="1"/>
  <c r="G164" i="4"/>
  <c r="F164" i="4"/>
  <c r="E164" i="4" s="1"/>
  <c r="C165" i="4"/>
  <c r="D165" i="4" s="1"/>
  <c r="G165" i="4" l="1"/>
  <c r="F165" i="4"/>
  <c r="E165" i="4" s="1"/>
  <c r="H164" i="4"/>
  <c r="C166" i="4"/>
  <c r="D166" i="4" s="1"/>
  <c r="H165" i="4" l="1"/>
  <c r="G166" i="4"/>
  <c r="F166" i="4"/>
  <c r="E166" i="4" s="1"/>
  <c r="C167" i="4"/>
  <c r="D167" i="4" s="1"/>
  <c r="G167" i="4" l="1"/>
  <c r="F167" i="4"/>
  <c r="E167" i="4" s="1"/>
  <c r="H166" i="4"/>
  <c r="C168" i="4"/>
  <c r="D168" i="4" s="1"/>
  <c r="H167" i="4" l="1"/>
  <c r="G168" i="4"/>
  <c r="F168" i="4"/>
  <c r="E168" i="4" s="1"/>
  <c r="C169" i="4"/>
  <c r="D169" i="4" s="1"/>
  <c r="G169" i="4" l="1"/>
  <c r="F169" i="4"/>
  <c r="E169" i="4" s="1"/>
  <c r="H168" i="4"/>
  <c r="C170" i="4"/>
  <c r="D170" i="4" s="1"/>
  <c r="H169" i="4" l="1"/>
  <c r="G170" i="4"/>
  <c r="F170" i="4"/>
  <c r="E170" i="4" s="1"/>
  <c r="C171" i="4"/>
  <c r="D171" i="4" s="1"/>
  <c r="G171" i="4" l="1"/>
  <c r="F171" i="4"/>
  <c r="E171" i="4" s="1"/>
  <c r="H170" i="4"/>
  <c r="C172" i="4"/>
  <c r="D172" i="4" s="1"/>
  <c r="H171" i="4" l="1"/>
  <c r="G172" i="4"/>
  <c r="F172" i="4"/>
  <c r="E172" i="4" s="1"/>
  <c r="C173" i="4"/>
  <c r="D173" i="4" s="1"/>
  <c r="H172" i="4" l="1"/>
  <c r="G173" i="4"/>
  <c r="F173" i="4"/>
  <c r="E173" i="4" s="1"/>
  <c r="C174" i="4"/>
  <c r="D174" i="4" s="1"/>
  <c r="H173" i="4" l="1"/>
  <c r="G174" i="4"/>
  <c r="F174" i="4"/>
  <c r="E174" i="4" s="1"/>
  <c r="C175" i="4"/>
  <c r="D175" i="4" s="1"/>
  <c r="H174" i="4" l="1"/>
  <c r="G175" i="4"/>
  <c r="F175" i="4"/>
  <c r="E175" i="4" s="1"/>
  <c r="C176" i="4"/>
  <c r="D176" i="4" s="1"/>
  <c r="H175" i="4" l="1"/>
  <c r="G176" i="4"/>
  <c r="F176" i="4"/>
  <c r="E176" i="4" s="1"/>
  <c r="C177" i="4"/>
  <c r="D177" i="4" s="1"/>
  <c r="G177" i="4" l="1"/>
  <c r="F177" i="4"/>
  <c r="E177" i="4" s="1"/>
  <c r="H176" i="4"/>
  <c r="C178" i="4"/>
  <c r="D178" i="4" s="1"/>
  <c r="H177" i="4" l="1"/>
  <c r="G178" i="4"/>
  <c r="F178" i="4"/>
  <c r="E178" i="4" s="1"/>
  <c r="C179" i="4"/>
  <c r="D179" i="4" s="1"/>
  <c r="G179" i="4" l="1"/>
  <c r="F179" i="4"/>
  <c r="E179" i="4" s="1"/>
  <c r="H178" i="4"/>
  <c r="C180" i="4"/>
  <c r="D180" i="4" s="1"/>
  <c r="H179" i="4" l="1"/>
  <c r="G180" i="4"/>
  <c r="F180" i="4"/>
  <c r="E180" i="4" s="1"/>
  <c r="C181" i="4"/>
  <c r="D181" i="4" s="1"/>
  <c r="G181" i="4" l="1"/>
  <c r="F181" i="4"/>
  <c r="E181" i="4" s="1"/>
  <c r="H180" i="4"/>
  <c r="C182" i="4"/>
  <c r="D182" i="4" s="1"/>
  <c r="H181" i="4" l="1"/>
  <c r="G182" i="4"/>
  <c r="F182" i="4"/>
  <c r="E182" i="4" s="1"/>
  <c r="C183" i="4"/>
  <c r="D183" i="4" s="1"/>
  <c r="H182" i="4" l="1"/>
  <c r="G183" i="4"/>
  <c r="F183" i="4"/>
  <c r="E183" i="4" s="1"/>
  <c r="C184" i="4"/>
  <c r="D184" i="4" s="1"/>
  <c r="H183" i="4" l="1"/>
  <c r="G184" i="4"/>
  <c r="F184" i="4"/>
  <c r="E184" i="4" s="1"/>
  <c r="C185" i="4"/>
  <c r="D185" i="4" s="1"/>
  <c r="H184" i="4" l="1"/>
  <c r="G185" i="4"/>
  <c r="F185" i="4"/>
  <c r="E185" i="4" s="1"/>
  <c r="C186" i="4"/>
  <c r="D186" i="4" s="1"/>
  <c r="H185" i="4" l="1"/>
  <c r="G186" i="4"/>
  <c r="F186" i="4"/>
  <c r="E186" i="4" s="1"/>
  <c r="C187" i="4"/>
  <c r="D187" i="4" s="1"/>
  <c r="G187" i="4" l="1"/>
  <c r="F187" i="4"/>
  <c r="E187" i="4" s="1"/>
  <c r="H186" i="4"/>
  <c r="C188" i="4"/>
  <c r="D188" i="4" s="1"/>
  <c r="H187" i="4" l="1"/>
  <c r="G188" i="4"/>
  <c r="F188" i="4"/>
  <c r="E188" i="4" s="1"/>
  <c r="C189" i="4"/>
  <c r="D189" i="4" s="1"/>
  <c r="G189" i="4" l="1"/>
  <c r="F189" i="4"/>
  <c r="E189" i="4" s="1"/>
  <c r="H188" i="4"/>
  <c r="C190" i="4"/>
  <c r="D190" i="4" s="1"/>
  <c r="H189" i="4" l="1"/>
  <c r="G190" i="4"/>
  <c r="F190" i="4"/>
  <c r="E190" i="4" s="1"/>
  <c r="C191" i="4"/>
  <c r="D191" i="4" s="1"/>
  <c r="H190" i="4" l="1"/>
  <c r="G191" i="4"/>
  <c r="F191" i="4"/>
  <c r="E191" i="4" s="1"/>
  <c r="C192" i="4"/>
  <c r="D192" i="4" s="1"/>
  <c r="H191" i="4" l="1"/>
  <c r="G192" i="4"/>
  <c r="F192" i="4"/>
  <c r="E192" i="4" s="1"/>
  <c r="C193" i="4"/>
  <c r="D193" i="4" s="1"/>
  <c r="H192" i="4" l="1"/>
  <c r="G193" i="4"/>
  <c r="F193" i="4"/>
  <c r="E193" i="4" s="1"/>
  <c r="C194" i="4"/>
  <c r="D194" i="4" s="1"/>
  <c r="H193" i="4" l="1"/>
  <c r="G194" i="4"/>
  <c r="F194" i="4"/>
  <c r="E194" i="4" s="1"/>
  <c r="C195" i="4"/>
  <c r="D195" i="4" s="1"/>
  <c r="G195" i="4" l="1"/>
  <c r="F195" i="4"/>
  <c r="E195" i="4" s="1"/>
  <c r="H194" i="4"/>
  <c r="C196" i="4"/>
  <c r="D196" i="4" s="1"/>
  <c r="H195" i="4" l="1"/>
  <c r="G196" i="4"/>
  <c r="F196" i="4"/>
  <c r="E196" i="4" s="1"/>
  <c r="C197" i="4"/>
  <c r="D197" i="4" s="1"/>
  <c r="H196" i="4" l="1"/>
  <c r="G197" i="4"/>
  <c r="F197" i="4"/>
  <c r="E197" i="4" s="1"/>
  <c r="C198" i="4"/>
  <c r="D198" i="4" s="1"/>
  <c r="H197" i="4" l="1"/>
  <c r="G198" i="4"/>
  <c r="F198" i="4"/>
  <c r="E198" i="4" s="1"/>
  <c r="C199" i="4"/>
  <c r="D199" i="4" s="1"/>
  <c r="G199" i="4" l="1"/>
  <c r="F199" i="4"/>
  <c r="E199" i="4" s="1"/>
  <c r="H198" i="4"/>
  <c r="C200" i="4"/>
  <c r="D200" i="4" s="1"/>
  <c r="H199" i="4" l="1"/>
  <c r="G200" i="4"/>
  <c r="F200" i="4"/>
  <c r="E200" i="4" s="1"/>
  <c r="C201" i="4"/>
  <c r="D201" i="4" s="1"/>
  <c r="G201" i="4" l="1"/>
  <c r="F201" i="4"/>
  <c r="E201" i="4" s="1"/>
  <c r="H200" i="4"/>
  <c r="C202" i="4"/>
  <c r="D202" i="4" s="1"/>
  <c r="H201" i="4" l="1"/>
  <c r="G202" i="4"/>
  <c r="F202" i="4"/>
  <c r="E202" i="4" s="1"/>
  <c r="C203" i="4"/>
  <c r="D203" i="4" s="1"/>
  <c r="G203" i="4" l="1"/>
  <c r="F203" i="4"/>
  <c r="E203" i="4" s="1"/>
  <c r="H202" i="4"/>
  <c r="C204" i="4"/>
  <c r="D204" i="4" s="1"/>
  <c r="H203" i="4" l="1"/>
  <c r="G204" i="4"/>
  <c r="F204" i="4"/>
  <c r="E204" i="4" s="1"/>
  <c r="C205" i="4"/>
  <c r="D205" i="4" s="1"/>
  <c r="G205" i="4" l="1"/>
  <c r="F205" i="4"/>
  <c r="E205" i="4" s="1"/>
  <c r="H204" i="4"/>
  <c r="C206" i="4"/>
  <c r="D206" i="4" s="1"/>
  <c r="H205" i="4" l="1"/>
  <c r="G206" i="4"/>
  <c r="F206" i="4"/>
  <c r="E206" i="4" s="1"/>
  <c r="C207" i="4"/>
  <c r="D207" i="4" s="1"/>
  <c r="H206" i="4" l="1"/>
  <c r="G207" i="4"/>
  <c r="F207" i="4"/>
  <c r="E207" i="4" s="1"/>
  <c r="C208" i="4"/>
  <c r="D208" i="4" s="1"/>
  <c r="H207" i="4" l="1"/>
  <c r="G208" i="4"/>
  <c r="F208" i="4"/>
  <c r="E208" i="4" s="1"/>
  <c r="C209" i="4"/>
  <c r="D209" i="4" s="1"/>
  <c r="H208" i="4" l="1"/>
  <c r="G209" i="4"/>
  <c r="F209" i="4"/>
  <c r="E209" i="4" s="1"/>
  <c r="C210" i="4"/>
  <c r="D210" i="4" s="1"/>
  <c r="H209" i="4" l="1"/>
  <c r="G210" i="4"/>
  <c r="F210" i="4"/>
  <c r="E210" i="4" s="1"/>
  <c r="C211" i="4"/>
  <c r="D211" i="4" s="1"/>
  <c r="G211" i="4" l="1"/>
  <c r="F211" i="4"/>
  <c r="E211" i="4" s="1"/>
  <c r="H210" i="4"/>
  <c r="C212" i="4"/>
  <c r="D212" i="4" s="1"/>
  <c r="H211" i="4" l="1"/>
  <c r="G212" i="4"/>
  <c r="F212" i="4"/>
  <c r="E212" i="4" s="1"/>
  <c r="C213" i="4"/>
  <c r="D213" i="4" s="1"/>
  <c r="G213" i="4" l="1"/>
  <c r="F213" i="4"/>
  <c r="E213" i="4" s="1"/>
  <c r="H212" i="4"/>
  <c r="C214" i="4"/>
  <c r="D214" i="4" s="1"/>
  <c r="H213" i="4" l="1"/>
  <c r="G214" i="4"/>
  <c r="F214" i="4"/>
  <c r="E214" i="4" s="1"/>
  <c r="C215" i="4"/>
  <c r="D215" i="4" s="1"/>
  <c r="G215" i="4" l="1"/>
  <c r="F215" i="4"/>
  <c r="E215" i="4" s="1"/>
  <c r="H214" i="4"/>
  <c r="C216" i="4"/>
  <c r="D216" i="4" s="1"/>
  <c r="H215" i="4" l="1"/>
  <c r="G216" i="4"/>
  <c r="F216" i="4"/>
  <c r="E216" i="4" s="1"/>
  <c r="C217" i="4"/>
  <c r="D217" i="4" s="1"/>
  <c r="G217" i="4" l="1"/>
  <c r="F217" i="4"/>
  <c r="E217" i="4" s="1"/>
  <c r="H216" i="4"/>
  <c r="C218" i="4"/>
  <c r="D218" i="4" s="1"/>
  <c r="H217" i="4" l="1"/>
  <c r="G218" i="4"/>
  <c r="F218" i="4"/>
  <c r="E218" i="4" s="1"/>
  <c r="C219" i="4"/>
  <c r="D219" i="4" s="1"/>
  <c r="H218" i="4" l="1"/>
  <c r="G219" i="4"/>
  <c r="F219" i="4"/>
  <c r="E219" i="4" s="1"/>
  <c r="C220" i="4"/>
  <c r="D220" i="4" s="1"/>
  <c r="H219" i="4" l="1"/>
  <c r="G220" i="4"/>
  <c r="F220" i="4"/>
  <c r="E220" i="4" s="1"/>
  <c r="C221" i="4"/>
  <c r="D221" i="4" s="1"/>
  <c r="G221" i="4" l="1"/>
  <c r="F221" i="4"/>
  <c r="E221" i="4" s="1"/>
  <c r="H220" i="4"/>
  <c r="C222" i="4"/>
  <c r="D222" i="4" s="1"/>
  <c r="H221" i="4" l="1"/>
  <c r="G222" i="4"/>
  <c r="F222" i="4"/>
  <c r="E222" i="4" s="1"/>
  <c r="C223" i="4"/>
  <c r="D223" i="4" s="1"/>
  <c r="G223" i="4" l="1"/>
  <c r="F223" i="4"/>
  <c r="E223" i="4" s="1"/>
  <c r="H222" i="4"/>
  <c r="C224" i="4"/>
  <c r="D224" i="4" s="1"/>
  <c r="H223" i="4" l="1"/>
  <c r="G224" i="4"/>
  <c r="F224" i="4"/>
  <c r="E224" i="4" s="1"/>
  <c r="C225" i="4"/>
  <c r="D225" i="4" s="1"/>
  <c r="H224" i="4" l="1"/>
  <c r="G225" i="4"/>
  <c r="F225" i="4"/>
  <c r="E225" i="4" s="1"/>
  <c r="C226" i="4"/>
  <c r="D226" i="4" s="1"/>
  <c r="H225" i="4" l="1"/>
  <c r="G226" i="4"/>
  <c r="F226" i="4"/>
  <c r="E226" i="4" s="1"/>
  <c r="C227" i="4"/>
  <c r="D227" i="4" s="1"/>
  <c r="H226" i="4" l="1"/>
  <c r="G227" i="4"/>
  <c r="F227" i="4"/>
  <c r="E227" i="4" s="1"/>
  <c r="C228" i="4"/>
  <c r="D228" i="4" s="1"/>
  <c r="H227" i="4" l="1"/>
  <c r="G228" i="4"/>
  <c r="F228" i="4"/>
  <c r="E228" i="4" s="1"/>
  <c r="C229" i="4"/>
  <c r="D229" i="4" s="1"/>
  <c r="G229" i="4" l="1"/>
  <c r="F229" i="4"/>
  <c r="E229" i="4" s="1"/>
  <c r="H228" i="4"/>
  <c r="C230" i="4"/>
  <c r="D230" i="4" s="1"/>
  <c r="H229" i="4" l="1"/>
  <c r="G230" i="4"/>
  <c r="F230" i="4"/>
  <c r="E230" i="4" s="1"/>
  <c r="C231" i="4"/>
  <c r="D231" i="4" s="1"/>
  <c r="G231" i="4" l="1"/>
  <c r="F231" i="4"/>
  <c r="E231" i="4" s="1"/>
  <c r="H230" i="4"/>
  <c r="C232" i="4"/>
  <c r="D232" i="4" s="1"/>
  <c r="H231" i="4" l="1"/>
  <c r="G232" i="4"/>
  <c r="F232" i="4"/>
  <c r="E232" i="4" s="1"/>
  <c r="C233" i="4"/>
  <c r="D233" i="4" s="1"/>
  <c r="H232" i="4" l="1"/>
  <c r="G233" i="4"/>
  <c r="F233" i="4"/>
  <c r="E233" i="4" s="1"/>
  <c r="C234" i="4"/>
  <c r="D234" i="4" s="1"/>
  <c r="H233" i="4" l="1"/>
  <c r="G234" i="4"/>
  <c r="F234" i="4"/>
  <c r="E234" i="4" s="1"/>
  <c r="C235" i="4"/>
  <c r="D235" i="4" s="1"/>
  <c r="G235" i="4" l="1"/>
  <c r="F235" i="4"/>
  <c r="E235" i="4" s="1"/>
  <c r="H234" i="4"/>
  <c r="C236" i="4"/>
  <c r="D236" i="4" s="1"/>
  <c r="H235" i="4" l="1"/>
  <c r="G236" i="4"/>
  <c r="F236" i="4"/>
  <c r="E236" i="4" s="1"/>
  <c r="C237" i="4"/>
  <c r="D237" i="4" s="1"/>
  <c r="G237" i="4" l="1"/>
  <c r="F237" i="4"/>
  <c r="E237" i="4" s="1"/>
  <c r="H236" i="4"/>
  <c r="C238" i="4"/>
  <c r="D238" i="4" s="1"/>
  <c r="H237" i="4" l="1"/>
  <c r="G238" i="4"/>
  <c r="F238" i="4"/>
  <c r="E238" i="4" s="1"/>
  <c r="C239" i="4"/>
  <c r="D239" i="4" s="1"/>
  <c r="G239" i="4" l="1"/>
  <c r="F239" i="4"/>
  <c r="E239" i="4" s="1"/>
  <c r="H238" i="4"/>
  <c r="C240" i="4"/>
  <c r="D240" i="4" s="1"/>
  <c r="H239" i="4" l="1"/>
  <c r="G240" i="4"/>
  <c r="F240" i="4"/>
  <c r="E240" i="4" s="1"/>
  <c r="C241" i="4"/>
  <c r="D241" i="4" s="1"/>
  <c r="H240" i="4" l="1"/>
  <c r="G241" i="4"/>
  <c r="F241" i="4"/>
  <c r="E241" i="4" s="1"/>
  <c r="C242" i="4"/>
  <c r="D242" i="4" s="1"/>
  <c r="G242" i="4" l="1"/>
  <c r="F242" i="4"/>
  <c r="E242" i="4" s="1"/>
  <c r="H241" i="4"/>
  <c r="C243" i="4"/>
  <c r="D243" i="4" s="1"/>
  <c r="H242" i="4" l="1"/>
  <c r="G243" i="4"/>
  <c r="F243" i="4"/>
  <c r="E243" i="4" s="1"/>
  <c r="C244" i="4"/>
  <c r="D244" i="4" s="1"/>
  <c r="G244" i="4" l="1"/>
  <c r="F244" i="4"/>
  <c r="E244" i="4" s="1"/>
  <c r="H243" i="4"/>
  <c r="C245" i="4"/>
  <c r="D245" i="4" s="1"/>
  <c r="H244" i="4" l="1"/>
  <c r="G245" i="4"/>
  <c r="F245" i="4"/>
  <c r="E245" i="4" s="1"/>
  <c r="C246" i="4"/>
  <c r="D246" i="4" s="1"/>
  <c r="G246" i="4" l="1"/>
  <c r="F246" i="4"/>
  <c r="E246" i="4" s="1"/>
  <c r="H245" i="4"/>
  <c r="C247" i="4"/>
  <c r="D247" i="4" s="1"/>
  <c r="H246" i="4" l="1"/>
  <c r="G247" i="4"/>
  <c r="F247" i="4"/>
  <c r="E247" i="4" s="1"/>
  <c r="C248" i="4"/>
  <c r="D248" i="4" s="1"/>
  <c r="H247" i="4" l="1"/>
  <c r="G248" i="4"/>
  <c r="F248" i="4"/>
  <c r="H248" i="4" s="1"/>
  <c r="C249" i="4"/>
  <c r="D249" i="4" s="1"/>
  <c r="E248" i="4" l="1"/>
  <c r="G249" i="4"/>
  <c r="F249" i="4"/>
  <c r="H249" i="4" s="1"/>
  <c r="E249" i="4"/>
  <c r="C250" i="4"/>
  <c r="D250" i="4" s="1"/>
  <c r="G250" i="4" l="1"/>
  <c r="F250" i="4"/>
  <c r="H250" i="4" s="1"/>
  <c r="C251" i="4"/>
  <c r="D251" i="4" s="1"/>
  <c r="E250" i="4" l="1"/>
  <c r="G251" i="4"/>
  <c r="F251" i="4"/>
  <c r="E251" i="4" s="1"/>
  <c r="C252" i="4"/>
  <c r="D252" i="4" s="1"/>
  <c r="H251" i="4" l="1"/>
  <c r="G252" i="4"/>
  <c r="F252" i="4"/>
  <c r="E252" i="4" s="1"/>
  <c r="C253" i="4"/>
  <c r="D253" i="4" s="1"/>
  <c r="H252" i="4" l="1"/>
  <c r="G253" i="4"/>
  <c r="F253" i="4"/>
  <c r="E253" i="4"/>
  <c r="C254" i="4"/>
  <c r="D254" i="4" s="1"/>
  <c r="H253" i="4" l="1"/>
  <c r="G254" i="4"/>
  <c r="F254" i="4"/>
  <c r="H254" i="4" s="1"/>
  <c r="C255" i="4"/>
  <c r="D255" i="4" s="1"/>
  <c r="E254" i="4" l="1"/>
  <c r="G255" i="4"/>
  <c r="F255" i="4"/>
  <c r="E255" i="4" s="1"/>
  <c r="C256" i="4"/>
  <c r="D256" i="4" s="1"/>
  <c r="H255" i="4" l="1"/>
  <c r="G256" i="4"/>
  <c r="F256" i="4"/>
  <c r="H256" i="4" s="1"/>
  <c r="C257" i="4"/>
  <c r="D257" i="4" s="1"/>
  <c r="E256" i="4" l="1"/>
  <c r="G257" i="4"/>
  <c r="F257" i="4"/>
  <c r="E257" i="4" s="1"/>
  <c r="C258" i="4"/>
  <c r="D258" i="4" s="1"/>
  <c r="H257" i="4" l="1"/>
  <c r="G258" i="4"/>
  <c r="F258" i="4"/>
  <c r="E258" i="4" s="1"/>
  <c r="C259" i="4"/>
  <c r="D259" i="4" s="1"/>
  <c r="H258" i="4" l="1"/>
  <c r="G259" i="4"/>
  <c r="F259" i="4"/>
  <c r="E259" i="4"/>
  <c r="C260" i="4"/>
  <c r="D260" i="4" s="1"/>
  <c r="H259" i="4" l="1"/>
  <c r="G260" i="4"/>
  <c r="F260" i="4"/>
  <c r="H260" i="4" s="1"/>
  <c r="C261" i="4"/>
  <c r="D261" i="4" s="1"/>
  <c r="E260" i="4" l="1"/>
  <c r="G261" i="4"/>
  <c r="F261" i="4"/>
  <c r="E261" i="4" s="1"/>
  <c r="C262" i="4"/>
  <c r="D262" i="4" s="1"/>
  <c r="H261" i="4" l="1"/>
  <c r="G262" i="4"/>
  <c r="F262" i="4"/>
  <c r="E262" i="4" s="1"/>
  <c r="C263" i="4"/>
  <c r="D263" i="4" s="1"/>
  <c r="H262" i="4" l="1"/>
  <c r="G263" i="4"/>
  <c r="F263" i="4"/>
  <c r="E263" i="4"/>
  <c r="C264" i="4"/>
  <c r="D264" i="4" s="1"/>
  <c r="H263" i="4" l="1"/>
  <c r="G264" i="4"/>
  <c r="F264" i="4"/>
  <c r="H264" i="4" s="1"/>
  <c r="C265" i="4"/>
  <c r="D265" i="4" s="1"/>
  <c r="E264" i="4" l="1"/>
  <c r="G265" i="4"/>
  <c r="F265" i="4"/>
  <c r="E265" i="4" s="1"/>
  <c r="C266" i="4"/>
  <c r="D266" i="4" s="1"/>
  <c r="H265" i="4" l="1"/>
  <c r="G266" i="4"/>
  <c r="F266" i="4"/>
  <c r="E266" i="4" s="1"/>
  <c r="C267" i="4"/>
  <c r="D267" i="4" s="1"/>
  <c r="H266" i="4" l="1"/>
  <c r="G267" i="4"/>
  <c r="F267" i="4"/>
  <c r="E267" i="4"/>
  <c r="C268" i="4"/>
  <c r="D268" i="4" s="1"/>
  <c r="H267" i="4" l="1"/>
  <c r="G268" i="4"/>
  <c r="F268" i="4"/>
  <c r="H268" i="4" s="1"/>
  <c r="C269" i="4"/>
  <c r="D269" i="4" s="1"/>
  <c r="E268" i="4" l="1"/>
  <c r="G269" i="4"/>
  <c r="F269" i="4"/>
  <c r="E269" i="4"/>
  <c r="C270" i="4"/>
  <c r="D270" i="4" s="1"/>
  <c r="H269" i="4" l="1"/>
  <c r="G270" i="4"/>
  <c r="F270" i="4"/>
  <c r="H270" i="4" s="1"/>
  <c r="C271" i="4"/>
  <c r="D271" i="4" s="1"/>
  <c r="E270" i="4" l="1"/>
  <c r="G271" i="4"/>
  <c r="F271" i="4"/>
  <c r="E271" i="4"/>
  <c r="C272" i="4"/>
  <c r="D272" i="4" s="1"/>
  <c r="H271" i="4" l="1"/>
  <c r="G272" i="4"/>
  <c r="F272" i="4"/>
  <c r="H272" i="4" s="1"/>
  <c r="C273" i="4"/>
  <c r="D273" i="4" s="1"/>
  <c r="E272" i="4" l="1"/>
  <c r="G273" i="4"/>
  <c r="F273" i="4"/>
  <c r="E273" i="4"/>
  <c r="C274" i="4"/>
  <c r="D274" i="4" s="1"/>
  <c r="H273" i="4" l="1"/>
  <c r="G274" i="4"/>
  <c r="F274" i="4"/>
  <c r="H274" i="4" s="1"/>
  <c r="C275" i="4"/>
  <c r="D275" i="4" s="1"/>
  <c r="E274" i="4" l="1"/>
  <c r="G275" i="4"/>
  <c r="F275" i="4"/>
  <c r="E275" i="4"/>
  <c r="C276" i="4"/>
  <c r="D276" i="4" s="1"/>
  <c r="H275" i="4" l="1"/>
  <c r="G276" i="4"/>
  <c r="F276" i="4"/>
  <c r="H276" i="4" s="1"/>
  <c r="C277" i="4"/>
  <c r="D277" i="4" s="1"/>
  <c r="E276" i="4" l="1"/>
  <c r="G277" i="4"/>
  <c r="F277" i="4"/>
  <c r="E277" i="4"/>
  <c r="C278" i="4"/>
  <c r="D278" i="4" s="1"/>
  <c r="H277" i="4" l="1"/>
  <c r="G278" i="4"/>
  <c r="F278" i="4"/>
  <c r="H278" i="4" s="1"/>
  <c r="C279" i="4"/>
  <c r="D279" i="4" s="1"/>
  <c r="E278" i="4" l="1"/>
  <c r="G279" i="4"/>
  <c r="F279" i="4"/>
  <c r="E279" i="4"/>
  <c r="C280" i="4"/>
  <c r="D280" i="4" s="1"/>
  <c r="H279" i="4" l="1"/>
  <c r="H280" i="4"/>
  <c r="G280" i="4"/>
  <c r="F280" i="4"/>
  <c r="E280" i="4"/>
  <c r="C281" i="4"/>
  <c r="D281" i="4" s="1"/>
  <c r="G281" i="4" l="1"/>
  <c r="F281" i="4"/>
  <c r="H281" i="4" s="1"/>
  <c r="E281" i="4"/>
  <c r="C282" i="4"/>
  <c r="D282" i="4" s="1"/>
  <c r="G282" i="4" l="1"/>
  <c r="F282" i="4"/>
  <c r="H282" i="4" s="1"/>
  <c r="C283" i="4"/>
  <c r="D283" i="4" s="1"/>
  <c r="E282" i="4" l="1"/>
  <c r="G283" i="4"/>
  <c r="F283" i="4"/>
  <c r="E283" i="4"/>
  <c r="C284" i="4"/>
  <c r="D284" i="4" s="1"/>
  <c r="H283" i="4" l="1"/>
  <c r="G284" i="4"/>
  <c r="F284" i="4"/>
  <c r="H284" i="4" s="1"/>
  <c r="C285" i="4"/>
  <c r="D285" i="4" s="1"/>
  <c r="E284" i="4" l="1"/>
  <c r="G285" i="4"/>
  <c r="F285" i="4"/>
  <c r="H285" i="4" s="1"/>
  <c r="E285" i="4"/>
  <c r="C286" i="4"/>
  <c r="D286" i="4" s="1"/>
  <c r="G286" i="4" l="1"/>
  <c r="F286" i="4"/>
  <c r="H286" i="4" s="1"/>
  <c r="C287" i="4"/>
  <c r="D287" i="4" s="1"/>
  <c r="E286" i="4" l="1"/>
  <c r="G287" i="4"/>
  <c r="F287" i="4"/>
  <c r="E287" i="4"/>
  <c r="C288" i="4"/>
  <c r="D288" i="4" s="1"/>
  <c r="H287" i="4" l="1"/>
  <c r="G288" i="4"/>
  <c r="F288" i="4"/>
  <c r="H288" i="4" s="1"/>
  <c r="C289" i="4"/>
  <c r="D289" i="4" s="1"/>
  <c r="E288" i="4" l="1"/>
  <c r="G289" i="4"/>
  <c r="F289" i="4"/>
  <c r="H289" i="4" s="1"/>
  <c r="E289" i="4"/>
  <c r="C290" i="4"/>
  <c r="D290" i="4" s="1"/>
  <c r="G290" i="4" l="1"/>
  <c r="F290" i="4"/>
  <c r="H290" i="4" s="1"/>
  <c r="C291" i="4"/>
  <c r="D291" i="4" s="1"/>
  <c r="E290" i="4" l="1"/>
  <c r="G291" i="4"/>
  <c r="F291" i="4"/>
  <c r="E291" i="4"/>
  <c r="C292" i="4"/>
  <c r="D292" i="4" s="1"/>
  <c r="H291" i="4" l="1"/>
  <c r="G292" i="4"/>
  <c r="F292" i="4"/>
  <c r="H292" i="4" s="1"/>
  <c r="C293" i="4"/>
  <c r="D293" i="4" s="1"/>
  <c r="E292" i="4" l="1"/>
  <c r="G293" i="4"/>
  <c r="F293" i="4"/>
  <c r="H293" i="4" s="1"/>
  <c r="E293" i="4"/>
  <c r="C294" i="4"/>
  <c r="D294" i="4" s="1"/>
  <c r="G294" i="4" l="1"/>
  <c r="F294" i="4"/>
  <c r="H294" i="4" s="1"/>
  <c r="C295" i="4"/>
  <c r="D295" i="4" s="1"/>
  <c r="E294" i="4" l="1"/>
  <c r="G295" i="4"/>
  <c r="F295" i="4"/>
  <c r="E295" i="4"/>
  <c r="C296" i="4"/>
  <c r="D296" i="4" s="1"/>
  <c r="H295" i="4" l="1"/>
  <c r="G296" i="4"/>
  <c r="F296" i="4"/>
  <c r="H296" i="4" s="1"/>
  <c r="C297" i="4"/>
  <c r="D297" i="4" s="1"/>
  <c r="E296" i="4" l="1"/>
  <c r="G297" i="4"/>
  <c r="F297" i="4"/>
  <c r="E297" i="4" s="1"/>
  <c r="C298" i="4"/>
  <c r="D298" i="4" s="1"/>
  <c r="H297" i="4" l="1"/>
  <c r="G298" i="4"/>
  <c r="F298" i="4"/>
  <c r="H298" i="4" s="1"/>
  <c r="C299" i="4"/>
  <c r="D299" i="4" s="1"/>
  <c r="E298" i="4" l="1"/>
  <c r="G299" i="4"/>
  <c r="F299" i="4"/>
  <c r="H299" i="4" s="1"/>
  <c r="E299" i="4"/>
  <c r="C300" i="4"/>
  <c r="D300" i="4" s="1"/>
  <c r="G300" i="4" l="1"/>
  <c r="F300" i="4"/>
  <c r="H300" i="4" s="1"/>
  <c r="C301" i="4"/>
  <c r="D301" i="4" s="1"/>
  <c r="E300" i="4" l="1"/>
  <c r="G301" i="4"/>
  <c r="F301" i="4"/>
  <c r="E301" i="4"/>
  <c r="C302" i="4"/>
  <c r="D302" i="4" s="1"/>
  <c r="H301" i="4" l="1"/>
  <c r="G302" i="4"/>
  <c r="F302" i="4"/>
  <c r="H302" i="4" s="1"/>
  <c r="C303" i="4"/>
  <c r="D303" i="4" s="1"/>
  <c r="E302" i="4" l="1"/>
  <c r="G303" i="4"/>
  <c r="F303" i="4"/>
  <c r="E303" i="4"/>
  <c r="C304" i="4"/>
  <c r="D304" i="4" s="1"/>
  <c r="H303" i="4" l="1"/>
  <c r="G304" i="4"/>
  <c r="F304" i="4"/>
  <c r="H304" i="4" s="1"/>
  <c r="C305" i="4"/>
  <c r="D305" i="4" s="1"/>
  <c r="E304" i="4" l="1"/>
  <c r="G305" i="4"/>
  <c r="F305" i="4"/>
  <c r="H305" i="4" s="1"/>
  <c r="E305" i="4"/>
  <c r="C306" i="4"/>
  <c r="D306" i="4" s="1"/>
  <c r="G306" i="4" l="1"/>
  <c r="F306" i="4"/>
  <c r="H306" i="4" s="1"/>
  <c r="C307" i="4"/>
  <c r="D307" i="4" s="1"/>
  <c r="E306" i="4" l="1"/>
  <c r="G307" i="4"/>
  <c r="F307" i="4"/>
  <c r="H307" i="4" s="1"/>
  <c r="E307" i="4"/>
  <c r="C308" i="4"/>
  <c r="D308" i="4" s="1"/>
  <c r="G308" i="4" l="1"/>
  <c r="F308" i="4"/>
  <c r="H308" i="4" s="1"/>
  <c r="C309" i="4"/>
  <c r="D309" i="4" s="1"/>
  <c r="E308" i="4" l="1"/>
  <c r="G309" i="4"/>
  <c r="F309" i="4"/>
  <c r="E309" i="4"/>
  <c r="C310" i="4"/>
  <c r="D310" i="4" s="1"/>
  <c r="H309" i="4" l="1"/>
  <c r="G310" i="4"/>
  <c r="F310" i="4"/>
  <c r="H310" i="4" s="1"/>
  <c r="C311" i="4"/>
  <c r="D311" i="4" s="1"/>
  <c r="E310" i="4" l="1"/>
  <c r="G311" i="4"/>
  <c r="F311" i="4"/>
  <c r="H311" i="4" s="1"/>
  <c r="E311" i="4"/>
  <c r="C312" i="4"/>
  <c r="D312" i="4" s="1"/>
  <c r="G312" i="4" l="1"/>
  <c r="F312" i="4"/>
  <c r="H312" i="4" s="1"/>
  <c r="C313" i="4"/>
  <c r="D313" i="4" s="1"/>
  <c r="E312" i="4" l="1"/>
  <c r="G313" i="4"/>
  <c r="F313" i="4"/>
  <c r="E313" i="4"/>
  <c r="C314" i="4"/>
  <c r="D314" i="4" s="1"/>
  <c r="H313" i="4" l="1"/>
  <c r="G314" i="4"/>
  <c r="F314" i="4"/>
  <c r="H314" i="4" s="1"/>
  <c r="C315" i="4"/>
  <c r="D315" i="4" s="1"/>
  <c r="E314" i="4" l="1"/>
  <c r="G315" i="4"/>
  <c r="F315" i="4"/>
  <c r="H315" i="4" s="1"/>
  <c r="E315" i="4"/>
  <c r="C316" i="4"/>
  <c r="D316" i="4" s="1"/>
  <c r="G316" i="4" l="1"/>
  <c r="F316" i="4"/>
  <c r="H316" i="4" s="1"/>
  <c r="C317" i="4"/>
  <c r="D317" i="4" s="1"/>
  <c r="E316" i="4" l="1"/>
  <c r="G317" i="4"/>
  <c r="F317" i="4"/>
  <c r="E317" i="4" s="1"/>
  <c r="C318" i="4"/>
  <c r="D318" i="4" s="1"/>
  <c r="H317" i="4" l="1"/>
  <c r="G318" i="4"/>
  <c r="F318" i="4"/>
  <c r="H318" i="4" s="1"/>
  <c r="C319" i="4"/>
  <c r="D319" i="4" s="1"/>
  <c r="E318" i="4" l="1"/>
  <c r="G319" i="4"/>
  <c r="F319" i="4"/>
  <c r="H319" i="4" s="1"/>
  <c r="E319" i="4"/>
  <c r="C320" i="4"/>
  <c r="D320" i="4" s="1"/>
  <c r="G320" i="4" l="1"/>
  <c r="F320" i="4"/>
  <c r="H320" i="4" s="1"/>
  <c r="C321" i="4"/>
  <c r="D321" i="4" s="1"/>
  <c r="E320" i="4" l="1"/>
  <c r="G321" i="4"/>
  <c r="F321" i="4"/>
  <c r="E321" i="4" s="1"/>
  <c r="C322" i="4"/>
  <c r="D322" i="4" s="1"/>
  <c r="H321" i="4" l="1"/>
  <c r="G322" i="4"/>
  <c r="F322" i="4"/>
  <c r="H322" i="4" s="1"/>
  <c r="C323" i="4"/>
  <c r="D323" i="4" s="1"/>
  <c r="E322" i="4" l="1"/>
  <c r="G323" i="4"/>
  <c r="F323" i="4"/>
  <c r="H323" i="4" s="1"/>
  <c r="E323" i="4"/>
  <c r="C324" i="4"/>
  <c r="D324" i="4" s="1"/>
  <c r="G324" i="4" l="1"/>
  <c r="F324" i="4"/>
  <c r="H324" i="4" s="1"/>
  <c r="C325" i="4"/>
  <c r="D325" i="4" s="1"/>
  <c r="E324" i="4" l="1"/>
  <c r="G325" i="4"/>
  <c r="F325" i="4"/>
  <c r="E325" i="4" s="1"/>
  <c r="C326" i="4"/>
  <c r="D326" i="4" s="1"/>
  <c r="H325" i="4" l="1"/>
  <c r="G326" i="4"/>
  <c r="F326" i="4"/>
  <c r="E326" i="4" s="1"/>
  <c r="C327" i="4"/>
  <c r="D327" i="4" s="1"/>
  <c r="H326" i="4" l="1"/>
  <c r="G327" i="4"/>
  <c r="F327" i="4"/>
  <c r="E327" i="4"/>
  <c r="C328" i="4"/>
  <c r="D328" i="4" s="1"/>
  <c r="H327" i="4" l="1"/>
  <c r="G328" i="4"/>
  <c r="F328" i="4"/>
  <c r="H328" i="4" s="1"/>
  <c r="C329" i="4"/>
  <c r="D329" i="4" s="1"/>
  <c r="E328" i="4" l="1"/>
  <c r="G329" i="4"/>
  <c r="F329" i="4"/>
  <c r="E329" i="4" s="1"/>
  <c r="C330" i="4"/>
  <c r="D330" i="4" s="1"/>
  <c r="H329" i="4" l="1"/>
  <c r="G330" i="4"/>
  <c r="F330" i="4"/>
  <c r="E330" i="4" s="1"/>
  <c r="C331" i="4"/>
  <c r="D331" i="4" s="1"/>
  <c r="H330" i="4" l="1"/>
  <c r="G331" i="4"/>
  <c r="F331" i="4"/>
  <c r="E331" i="4"/>
  <c r="C332" i="4"/>
  <c r="D332" i="4" s="1"/>
  <c r="H331" i="4" l="1"/>
  <c r="G332" i="4"/>
  <c r="F332" i="4"/>
  <c r="H332" i="4" s="1"/>
  <c r="C333" i="4"/>
  <c r="D333" i="4" s="1"/>
  <c r="E332" i="4" l="1"/>
  <c r="G333" i="4"/>
  <c r="F333" i="4"/>
  <c r="E333" i="4" s="1"/>
  <c r="C334" i="4"/>
  <c r="D334" i="4" s="1"/>
  <c r="H333" i="4" l="1"/>
  <c r="G334" i="4"/>
  <c r="F334" i="4"/>
  <c r="H334" i="4" s="1"/>
  <c r="C335" i="4"/>
  <c r="D335" i="4" s="1"/>
  <c r="E334" i="4" l="1"/>
  <c r="G335" i="4"/>
  <c r="F335" i="4"/>
  <c r="H335" i="4" s="1"/>
  <c r="E335" i="4"/>
  <c r="C336" i="4"/>
  <c r="D336" i="4" s="1"/>
  <c r="G336" i="4" l="1"/>
  <c r="F336" i="4"/>
  <c r="H336" i="4" s="1"/>
  <c r="C337" i="4"/>
  <c r="D337" i="4" s="1"/>
  <c r="E336" i="4" l="1"/>
  <c r="G337" i="4"/>
  <c r="F337" i="4"/>
  <c r="E337" i="4" s="1"/>
  <c r="C338" i="4"/>
  <c r="D338" i="4" s="1"/>
  <c r="H337" i="4" l="1"/>
  <c r="G338" i="4"/>
  <c r="F338" i="4"/>
  <c r="E338" i="4" s="1"/>
  <c r="C339" i="4"/>
  <c r="D339" i="4" s="1"/>
  <c r="H338" i="4" l="1"/>
  <c r="G339" i="4"/>
  <c r="F339" i="4"/>
  <c r="H339" i="4" s="1"/>
  <c r="E339" i="4"/>
  <c r="C340" i="4"/>
  <c r="D340" i="4" s="1"/>
  <c r="G340" i="4" l="1"/>
  <c r="F340" i="4"/>
  <c r="H340" i="4" s="1"/>
  <c r="C341" i="4"/>
  <c r="D341" i="4" s="1"/>
  <c r="E340" i="4" l="1"/>
  <c r="G341" i="4"/>
  <c r="F341" i="4"/>
  <c r="E341" i="4" s="1"/>
  <c r="C342" i="4"/>
  <c r="D342" i="4" s="1"/>
  <c r="H341" i="4" l="1"/>
  <c r="G342" i="4"/>
  <c r="F342" i="4"/>
  <c r="H342" i="4" s="1"/>
  <c r="C343" i="4"/>
  <c r="D343" i="4" s="1"/>
  <c r="E342" i="4" l="1"/>
  <c r="G343" i="4"/>
  <c r="F343" i="4"/>
  <c r="H343" i="4" s="1"/>
  <c r="E343" i="4"/>
  <c r="C344" i="4"/>
  <c r="D344" i="4" s="1"/>
  <c r="G344" i="4" l="1"/>
  <c r="F344" i="4"/>
  <c r="H344" i="4" s="1"/>
  <c r="C345" i="4"/>
  <c r="D345" i="4" s="1"/>
  <c r="E344" i="4" l="1"/>
  <c r="G345" i="4"/>
  <c r="F345" i="4"/>
  <c r="E345" i="4" s="1"/>
  <c r="C346" i="4"/>
  <c r="D346" i="4" s="1"/>
  <c r="H345" i="4" l="1"/>
  <c r="G346" i="4"/>
  <c r="F346" i="4"/>
  <c r="E346" i="4" s="1"/>
  <c r="C347" i="4"/>
  <c r="D347" i="4" s="1"/>
  <c r="H346" i="4" l="1"/>
  <c r="G347" i="4"/>
  <c r="F347" i="4"/>
  <c r="H347" i="4" s="1"/>
  <c r="E347" i="4"/>
  <c r="C348" i="4"/>
  <c r="D348" i="4" s="1"/>
  <c r="G348" i="4" l="1"/>
  <c r="F348" i="4"/>
  <c r="H348" i="4" s="1"/>
  <c r="C349" i="4"/>
  <c r="D349" i="4" s="1"/>
  <c r="E348" i="4" l="1"/>
  <c r="G349" i="4"/>
  <c r="F349" i="4"/>
  <c r="E349" i="4" s="1"/>
  <c r="C350" i="4"/>
  <c r="D350" i="4" s="1"/>
  <c r="H349" i="4" l="1"/>
  <c r="G350" i="4"/>
  <c r="F350" i="4"/>
  <c r="H350" i="4" s="1"/>
  <c r="C351" i="4"/>
  <c r="D351" i="4" s="1"/>
  <c r="E350" i="4" l="1"/>
  <c r="G351" i="4"/>
  <c r="F351" i="4"/>
  <c r="H351" i="4" s="1"/>
  <c r="E351" i="4"/>
  <c r="C352" i="4"/>
  <c r="D352" i="4" s="1"/>
  <c r="G352" i="4" l="1"/>
  <c r="F352" i="4"/>
  <c r="H352" i="4" s="1"/>
  <c r="C353" i="4"/>
  <c r="D353" i="4" s="1"/>
  <c r="E352" i="4" l="1"/>
  <c r="G353" i="4"/>
  <c r="F353" i="4"/>
  <c r="E353" i="4" s="1"/>
  <c r="C354" i="4"/>
  <c r="D354" i="4" s="1"/>
  <c r="H353" i="4" l="1"/>
  <c r="G354" i="4"/>
  <c r="F354" i="4"/>
  <c r="H354" i="4" s="1"/>
  <c r="C355" i="4"/>
  <c r="D355" i="4" s="1"/>
  <c r="E354" i="4" l="1"/>
  <c r="G355" i="4"/>
  <c r="F355" i="4"/>
  <c r="H355" i="4" s="1"/>
  <c r="E355" i="4"/>
  <c r="C356" i="4"/>
  <c r="D356" i="4" s="1"/>
  <c r="G356" i="4" l="1"/>
  <c r="F356" i="4"/>
  <c r="H356" i="4" s="1"/>
  <c r="C357" i="4"/>
  <c r="D357" i="4" s="1"/>
  <c r="E356" i="4" l="1"/>
  <c r="G357" i="4"/>
  <c r="F357" i="4"/>
  <c r="E357" i="4" s="1"/>
  <c r="C358" i="4"/>
  <c r="D358" i="4" s="1"/>
  <c r="H357" i="4" l="1"/>
  <c r="G358" i="4"/>
  <c r="F358" i="4"/>
  <c r="E358" i="4" s="1"/>
  <c r="C359" i="4"/>
  <c r="D359" i="4" s="1"/>
  <c r="H358" i="4" l="1"/>
  <c r="G359" i="4"/>
  <c r="F359" i="4"/>
  <c r="H359" i="4" s="1"/>
  <c r="E359" i="4"/>
  <c r="C360" i="4"/>
  <c r="D360" i="4" s="1"/>
  <c r="G360" i="4" l="1"/>
  <c r="F360" i="4"/>
  <c r="H360" i="4" s="1"/>
  <c r="C361" i="4"/>
  <c r="D361" i="4" s="1"/>
  <c r="E360" i="4" l="1"/>
  <c r="G361" i="4"/>
  <c r="F361" i="4"/>
  <c r="E361" i="4"/>
  <c r="C362" i="4"/>
  <c r="D362" i="4" s="1"/>
  <c r="H361" i="4" l="1"/>
  <c r="G362" i="4"/>
  <c r="F362" i="4"/>
  <c r="H362" i="4" s="1"/>
  <c r="C363" i="4"/>
  <c r="D363" i="4" s="1"/>
  <c r="E362" i="4" l="1"/>
  <c r="G363" i="4"/>
  <c r="F363" i="4"/>
  <c r="E363" i="4"/>
  <c r="C364" i="4"/>
  <c r="D364" i="4" s="1"/>
  <c r="H363" i="4" l="1"/>
  <c r="G364" i="4"/>
  <c r="F364" i="4"/>
  <c r="H364" i="4" s="1"/>
  <c r="C365" i="4"/>
  <c r="D365" i="4" s="1"/>
  <c r="E364" i="4" l="1"/>
  <c r="G365" i="4"/>
  <c r="F365" i="4"/>
  <c r="E365" i="4" s="1"/>
  <c r="C366" i="4"/>
  <c r="D366" i="4" s="1"/>
  <c r="H365" i="4" l="1"/>
  <c r="G366" i="4"/>
  <c r="F366" i="4"/>
  <c r="E366" i="4" s="1"/>
  <c r="C367" i="4"/>
  <c r="D367" i="4" s="1"/>
  <c r="H366" i="4" l="1"/>
  <c r="G367" i="4"/>
  <c r="F367" i="4"/>
  <c r="E367" i="4"/>
  <c r="H5" i="4" l="1"/>
  <c r="H4" i="4"/>
  <c r="H367" i="4"/>
</calcChain>
</file>

<file path=xl/comments1.xml><?xml version="1.0" encoding="utf-8"?>
<comments xmlns="http://schemas.openxmlformats.org/spreadsheetml/2006/main">
  <authors>
    <author>ivenss</author>
  </authors>
  <commentList>
    <comment ref="F4" authorId="0" shapeId="0">
      <text>
        <r>
          <rPr>
            <sz val="10"/>
            <color indexed="10"/>
            <rFont val="新細明體"/>
            <family val="1"/>
            <charset val="136"/>
          </rPr>
          <t>請輸入1~30之數值</t>
        </r>
      </text>
    </comment>
  </commentList>
</comments>
</file>

<file path=xl/sharedStrings.xml><?xml version="1.0" encoding="utf-8"?>
<sst xmlns="http://schemas.openxmlformats.org/spreadsheetml/2006/main" count="44" uniqueCount="44">
  <si>
    <t>年度</t>
    <phoneticPr fontId="2" type="noConversion"/>
  </si>
  <si>
    <t>期數</t>
    <phoneticPr fontId="2" type="noConversion"/>
  </si>
  <si>
    <t>繳納日期</t>
    <phoneticPr fontId="2" type="noConversion"/>
  </si>
  <si>
    <t>第11年度</t>
    <phoneticPr fontId="2" type="noConversion"/>
  </si>
  <si>
    <t>第2年度</t>
    <phoneticPr fontId="2" type="noConversion"/>
  </si>
  <si>
    <t>第3年度</t>
    <phoneticPr fontId="2" type="noConversion"/>
  </si>
  <si>
    <t>第4年度</t>
    <phoneticPr fontId="2" type="noConversion"/>
  </si>
  <si>
    <t>第5年度</t>
    <phoneticPr fontId="2" type="noConversion"/>
  </si>
  <si>
    <t>第6年度</t>
    <phoneticPr fontId="2" type="noConversion"/>
  </si>
  <si>
    <t>第7年度</t>
    <phoneticPr fontId="2" type="noConversion"/>
  </si>
  <si>
    <t>第8年度</t>
    <phoneticPr fontId="2" type="noConversion"/>
  </si>
  <si>
    <t>第9年度</t>
    <phoneticPr fontId="2" type="noConversion"/>
  </si>
  <si>
    <t>第10年度</t>
    <phoneticPr fontId="2" type="noConversion"/>
  </si>
  <si>
    <t>第12年度</t>
    <phoneticPr fontId="2" type="noConversion"/>
  </si>
  <si>
    <t>第13年度</t>
    <phoneticPr fontId="2" type="noConversion"/>
  </si>
  <si>
    <t>第14年度</t>
    <phoneticPr fontId="2" type="noConversion"/>
  </si>
  <si>
    <t>第15年度</t>
    <phoneticPr fontId="2" type="noConversion"/>
  </si>
  <si>
    <t>第16年度</t>
    <phoneticPr fontId="2" type="noConversion"/>
  </si>
  <si>
    <t>第17年度</t>
    <phoneticPr fontId="2" type="noConversion"/>
  </si>
  <si>
    <t>第18年度</t>
    <phoneticPr fontId="2" type="noConversion"/>
  </si>
  <si>
    <t>第19年度</t>
    <phoneticPr fontId="2" type="noConversion"/>
  </si>
  <si>
    <t>第20年度</t>
    <phoneticPr fontId="2" type="noConversion"/>
  </si>
  <si>
    <t>年息</t>
  </si>
  <si>
    <t>貸款年度</t>
    <phoneticPr fontId="2" type="noConversion"/>
  </si>
  <si>
    <t>第21年度</t>
    <phoneticPr fontId="2" type="noConversion"/>
  </si>
  <si>
    <t>第22年度</t>
    <phoneticPr fontId="2" type="noConversion"/>
  </si>
  <si>
    <t>第23年度</t>
    <phoneticPr fontId="2" type="noConversion"/>
  </si>
  <si>
    <t>第24年度</t>
    <phoneticPr fontId="2" type="noConversion"/>
  </si>
  <si>
    <t>第25年度</t>
    <phoneticPr fontId="2" type="noConversion"/>
  </si>
  <si>
    <t>第26年度</t>
    <phoneticPr fontId="2" type="noConversion"/>
  </si>
  <si>
    <t>第27年度</t>
    <phoneticPr fontId="2" type="noConversion"/>
  </si>
  <si>
    <t>第28年度</t>
    <phoneticPr fontId="2" type="noConversion"/>
  </si>
  <si>
    <t>第29年度</t>
    <phoneticPr fontId="2" type="noConversion"/>
  </si>
  <si>
    <t>第30年度</t>
    <phoneticPr fontId="2" type="noConversion"/>
  </si>
  <si>
    <t>剩餘貸款</t>
    <phoneticPr fontId="2" type="noConversion"/>
  </si>
  <si>
    <t>利息</t>
    <phoneticPr fontId="2" type="noConversion"/>
  </si>
  <si>
    <t>付出本金</t>
    <phoneticPr fontId="2" type="noConversion"/>
  </si>
  <si>
    <t>本金+利息</t>
    <phoneticPr fontId="2" type="noConversion"/>
  </si>
  <si>
    <t>分期貸款試算</t>
    <phoneticPr fontId="1" type="noConversion"/>
  </si>
  <si>
    <t>第1年度</t>
    <phoneticPr fontId="2" type="noConversion"/>
  </si>
  <si>
    <t>應繳利息總額</t>
    <phoneticPr fontId="2" type="noConversion"/>
  </si>
  <si>
    <t>應繳本息總額</t>
    <phoneticPr fontId="2" type="noConversion"/>
  </si>
  <si>
    <t>貸款起始日</t>
    <phoneticPr fontId="1" type="noConversion"/>
  </si>
  <si>
    <t>貸款金額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</si>
</sst>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6" formatCode="&quot;$&quot;#,##0;[Red]\-&quot;$&quot;#,##0"/>
    <numFmt numFmtId="8" formatCode="&quot;$&quot;#,##0.00;[Red]\-&quot;$&quot;#,##0.00"/>
    <numFmt numFmtId="176" formatCode="[$-F800]dddd\,\ mmmm\ dd\,\ yyyy"/>
    <numFmt numFmtId="177" formatCode="0_ "/>
    <numFmt numFmtId="178" formatCode="0.0%"/>
    <numFmt numFmtId="179" formatCode="0_);[Red]\(0\)"/>
    <numFmt numFmtId="180" formatCode="yyyy&quot;年&quot;m&quot;月&quot;d&quot;日&quot;;@"/>
    <numFmt numFmtId="181" formatCode="&quot;$&quot;#,##0.00_);[Red]\(&quot;$&quot;#,##0.00\)"/>
  </numFmts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color indexed="10"/>
      <name val="新細明體"/>
      <family val="1"/>
      <charset val="136"/>
    </font>
    <font>
      <sz val="12"/>
      <color theme="1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18"/>
      <name val="微軟正黑體"/>
      <family val="2"/>
      <charset val="136"/>
    </font>
    <font>
      <sz val="12"/>
      <color rgb="FF00B050"/>
      <name val="微軟正黑體"/>
      <family val="2"/>
      <charset val="136"/>
    </font>
    <font>
      <sz val="12"/>
      <name val="微軟正黑體"/>
      <family val="2"/>
      <charset val="136"/>
    </font>
    <font>
      <sz val="12"/>
      <color theme="0"/>
      <name val="微軟正黑體"/>
      <family val="2"/>
      <charset val="136"/>
    </font>
    <font>
      <sz val="12"/>
      <color indexed="12"/>
      <name val="微軟正黑體"/>
      <family val="2"/>
      <charset val="136"/>
    </font>
    <font>
      <b/>
      <sz val="12"/>
      <color rgb="FF000000"/>
      <name val="Adobe 繁黑體 Std B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double">
        <color rgb="FF7030A0"/>
      </bottom>
      <diagonal/>
    </border>
    <border>
      <left style="thin">
        <color rgb="FF7030A0"/>
      </left>
      <right style="double">
        <color rgb="FF7030A0"/>
      </right>
      <top style="thin">
        <color rgb="FF7030A0"/>
      </top>
      <bottom style="double">
        <color rgb="FF7030A0"/>
      </bottom>
      <diagonal/>
    </border>
    <border>
      <left style="thin">
        <color rgb="FF7030A0"/>
      </left>
      <right style="thin">
        <color rgb="FF7030A0"/>
      </right>
      <top style="double">
        <color rgb="FF7030A0"/>
      </top>
      <bottom style="thin">
        <color rgb="FF7030A0"/>
      </bottom>
      <diagonal/>
    </border>
    <border>
      <left style="thin">
        <color rgb="FF7030A0"/>
      </left>
      <right style="double">
        <color rgb="FF7030A0"/>
      </right>
      <top style="double">
        <color rgb="FF7030A0"/>
      </top>
      <bottom style="thin">
        <color rgb="FF7030A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rgb="FF7030A0"/>
      </left>
      <right/>
      <top style="thin">
        <color rgb="FF7030A0"/>
      </top>
      <bottom style="double">
        <color rgb="FF7030A0"/>
      </bottom>
      <diagonal/>
    </border>
    <border>
      <left/>
      <right style="thin">
        <color rgb="FF7030A0"/>
      </right>
      <top style="thin">
        <color rgb="FF7030A0"/>
      </top>
      <bottom style="double">
        <color rgb="FF7030A0"/>
      </bottom>
      <diagonal/>
    </border>
    <border>
      <left style="double">
        <color rgb="FF7030A0"/>
      </left>
      <right/>
      <top style="double">
        <color rgb="FF7030A0"/>
      </top>
      <bottom style="thin">
        <color rgb="FF7030A0"/>
      </bottom>
      <diagonal/>
    </border>
    <border>
      <left/>
      <right style="thin">
        <color rgb="FF7030A0"/>
      </right>
      <top style="double">
        <color rgb="FF7030A0"/>
      </top>
      <bottom style="thin">
        <color rgb="FF7030A0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6" fillId="0" borderId="0" xfId="0" applyFont="1" applyBorder="1" applyAlignment="1" applyProtection="1">
      <alignment horizontal="center" vertical="center"/>
      <protection locked="0"/>
    </xf>
    <xf numFmtId="0" fontId="4" fillId="0" borderId="0" xfId="0" applyFont="1" applyProtection="1">
      <alignment vertical="center"/>
      <protection locked="0"/>
    </xf>
    <xf numFmtId="180" fontId="7" fillId="0" borderId="11" xfId="0" applyNumberFormat="1" applyFont="1" applyBorder="1" applyAlignment="1" applyProtection="1">
      <alignment vertical="center"/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179" fontId="7" fillId="0" borderId="11" xfId="0" applyNumberFormat="1" applyFont="1" applyBorder="1" applyAlignment="1" applyProtection="1">
      <alignment horizontal="right" vertical="center"/>
      <protection locked="0"/>
    </xf>
    <xf numFmtId="178" fontId="7" fillId="0" borderId="0" xfId="0" applyNumberFormat="1" applyFont="1" applyBorder="1" applyAlignment="1" applyProtection="1">
      <alignment horizontal="center" vertical="center"/>
      <protection locked="0"/>
    </xf>
    <xf numFmtId="177" fontId="7" fillId="0" borderId="9" xfId="0" applyNumberFormat="1" applyFont="1" applyBorder="1" applyAlignment="1" applyProtection="1">
      <alignment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178" fontId="7" fillId="0" borderId="9" xfId="0" applyNumberFormat="1" applyFont="1" applyBorder="1" applyAlignment="1" applyProtection="1">
      <alignment horizontal="right"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177" fontId="7" fillId="0" borderId="0" xfId="0" applyNumberFormat="1" applyFont="1" applyBorder="1" applyAlignment="1" applyProtection="1">
      <alignment vertical="center"/>
      <protection locked="0"/>
    </xf>
    <xf numFmtId="6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20" xfId="0" applyFont="1" applyBorder="1" applyAlignment="1" applyProtection="1">
      <alignment horizontal="center" vertical="center"/>
      <protection locked="0"/>
    </xf>
    <xf numFmtId="0" fontId="8" fillId="0" borderId="21" xfId="0" applyFont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center" vertical="center"/>
      <protection locked="0"/>
    </xf>
    <xf numFmtId="181" fontId="8" fillId="3" borderId="12" xfId="0" applyNumberFormat="1" applyFont="1" applyFill="1" applyBorder="1" applyAlignment="1" applyProtection="1">
      <alignment horizontal="right" vertical="center"/>
    </xf>
    <xf numFmtId="181" fontId="8" fillId="3" borderId="10" xfId="0" applyNumberFormat="1" applyFont="1" applyFill="1" applyBorder="1" applyAlignment="1" applyProtection="1">
      <alignment horizontal="right" vertical="center"/>
    </xf>
    <xf numFmtId="0" fontId="4" fillId="3" borderId="14" xfId="0" applyFont="1" applyFill="1" applyBorder="1" applyProtection="1">
      <alignment vertical="center"/>
    </xf>
    <xf numFmtId="176" fontId="4" fillId="3" borderId="14" xfId="0" applyNumberFormat="1" applyFont="1" applyFill="1" applyBorder="1" applyProtection="1">
      <alignment vertical="center"/>
    </xf>
    <xf numFmtId="8" fontId="4" fillId="3" borderId="15" xfId="0" applyNumberFormat="1" applyFont="1" applyFill="1" applyBorder="1" applyProtection="1">
      <alignment vertical="center"/>
    </xf>
    <xf numFmtId="8" fontId="4" fillId="3" borderId="16" xfId="0" applyNumberFormat="1" applyFont="1" applyFill="1" applyBorder="1" applyProtection="1">
      <alignment vertical="center"/>
    </xf>
    <xf numFmtId="0" fontId="4" fillId="3" borderId="1" xfId="0" applyFont="1" applyFill="1" applyBorder="1" applyProtection="1">
      <alignment vertical="center"/>
    </xf>
    <xf numFmtId="176" fontId="4" fillId="2" borderId="1" xfId="0" applyNumberFormat="1" applyFont="1" applyFill="1" applyBorder="1" applyProtection="1">
      <alignment vertical="center"/>
    </xf>
    <xf numFmtId="8" fontId="4" fillId="2" borderId="2" xfId="0" applyNumberFormat="1" applyFont="1" applyFill="1" applyBorder="1" applyAlignment="1" applyProtection="1">
      <alignment horizontal="right" vertical="center"/>
    </xf>
    <xf numFmtId="8" fontId="4" fillId="2" borderId="2" xfId="0" applyNumberFormat="1" applyFont="1" applyFill="1" applyBorder="1" applyProtection="1">
      <alignment vertical="center"/>
    </xf>
    <xf numFmtId="8" fontId="4" fillId="2" borderId="3" xfId="0" applyNumberFormat="1" applyFont="1" applyFill="1" applyBorder="1" applyProtection="1">
      <alignment vertical="center"/>
    </xf>
    <xf numFmtId="176" fontId="4" fillId="3" borderId="1" xfId="0" applyNumberFormat="1" applyFont="1" applyFill="1" applyBorder="1" applyProtection="1">
      <alignment vertical="center"/>
    </xf>
    <xf numFmtId="8" fontId="4" fillId="3" borderId="2" xfId="0" applyNumberFormat="1" applyFont="1" applyFill="1" applyBorder="1" applyAlignment="1" applyProtection="1">
      <alignment horizontal="right" vertical="center"/>
    </xf>
    <xf numFmtId="8" fontId="4" fillId="3" borderId="2" xfId="0" applyNumberFormat="1" applyFont="1" applyFill="1" applyBorder="1" applyProtection="1">
      <alignment vertical="center"/>
    </xf>
    <xf numFmtId="8" fontId="4" fillId="3" borderId="3" xfId="0" applyNumberFormat="1" applyFont="1" applyFill="1" applyBorder="1" applyProtection="1">
      <alignment vertical="center"/>
    </xf>
    <xf numFmtId="0" fontId="4" fillId="3" borderId="13" xfId="0" applyFont="1" applyFill="1" applyBorder="1" applyProtection="1">
      <alignment vertical="center"/>
    </xf>
    <xf numFmtId="176" fontId="4" fillId="2" borderId="17" xfId="0" applyNumberFormat="1" applyFont="1" applyFill="1" applyBorder="1" applyProtection="1">
      <alignment vertical="center"/>
    </xf>
    <xf numFmtId="8" fontId="4" fillId="2" borderId="18" xfId="0" applyNumberFormat="1" applyFont="1" applyFill="1" applyBorder="1" applyAlignment="1" applyProtection="1">
      <alignment horizontal="right" vertical="center"/>
    </xf>
    <xf numFmtId="8" fontId="4" fillId="2" borderId="18" xfId="0" applyNumberFormat="1" applyFont="1" applyFill="1" applyBorder="1" applyProtection="1">
      <alignment vertical="center"/>
    </xf>
    <xf numFmtId="8" fontId="4" fillId="2" borderId="19" xfId="0" applyNumberFormat="1" applyFont="1" applyFill="1" applyBorder="1" applyProtection="1">
      <alignment vertical="center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5" fillId="4" borderId="0" xfId="0" applyFont="1" applyFill="1" applyBorder="1" applyAlignment="1" applyProtection="1">
      <alignment horizontal="center" vertical="center"/>
      <protection locked="0"/>
    </xf>
    <xf numFmtId="0" fontId="4" fillId="0" borderId="25" xfId="0" applyFont="1" applyBorder="1" applyAlignment="1" applyProtection="1">
      <alignment horizontal="center" vertical="center"/>
      <protection locked="0"/>
    </xf>
    <xf numFmtId="0" fontId="4" fillId="0" borderId="26" xfId="0" applyFont="1" applyBorder="1" applyAlignment="1" applyProtection="1">
      <alignment horizontal="center" vertical="center"/>
      <protection locked="0"/>
    </xf>
    <xf numFmtId="0" fontId="4" fillId="0" borderId="23" xfId="0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horizontal="center" vertical="center"/>
      <protection locked="0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1</xdr:row>
          <xdr:rowOff>95250</xdr:rowOff>
        </xdr:from>
        <xdr:to>
          <xdr:col>7</xdr:col>
          <xdr:colOff>1133475</xdr:colOff>
          <xdr:row>2</xdr:row>
          <xdr:rowOff>123825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dobe 繁黑體 Std B"/>
                  <a:ea typeface="Adobe 繁黑體 Std B"/>
                </a:rPr>
                <a:t>清除輸入資料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2:J367"/>
  <sheetViews>
    <sheetView tabSelected="1" topLeftCell="A2" zoomScaleNormal="100" workbookViewId="0">
      <selection activeCell="F4" sqref="F4"/>
    </sheetView>
  </sheetViews>
  <sheetFormatPr defaultRowHeight="15.75" x14ac:dyDescent="0.25"/>
  <cols>
    <col min="1" max="1" width="1.875" style="2" customWidth="1"/>
    <col min="2" max="2" width="9" style="2"/>
    <col min="3" max="3" width="5.875" style="2" customWidth="1"/>
    <col min="4" max="4" width="16.25" style="2" bestFit="1" customWidth="1"/>
    <col min="5" max="7" width="13.875" style="2" customWidth="1"/>
    <col min="8" max="8" width="15.625" style="2" bestFit="1" customWidth="1"/>
    <col min="9" max="9" width="1.875" style="2" customWidth="1"/>
    <col min="10" max="25" width="9.5" style="2" customWidth="1"/>
    <col min="26" max="26" width="13.875" style="2" bestFit="1" customWidth="1"/>
    <col min="27" max="27" width="9" style="2"/>
    <col min="28" max="28" width="18.375" style="2" bestFit="1" customWidth="1"/>
    <col min="29" max="16384" width="9" style="2"/>
  </cols>
  <sheetData>
    <row r="2" spans="2:10" ht="18" customHeight="1" x14ac:dyDescent="0.25">
      <c r="B2" s="44" t="s">
        <v>38</v>
      </c>
      <c r="C2" s="44"/>
      <c r="D2" s="44"/>
      <c r="E2" s="44"/>
      <c r="F2" s="44"/>
      <c r="G2" s="44"/>
      <c r="H2" s="44"/>
      <c r="I2" s="1"/>
    </row>
    <row r="3" spans="2:10" ht="16.5" customHeight="1" thickBot="1" x14ac:dyDescent="0.3">
      <c r="B3" s="44"/>
      <c r="C3" s="44"/>
      <c r="D3" s="44"/>
      <c r="E3" s="44"/>
      <c r="F3" s="44"/>
      <c r="G3" s="44"/>
      <c r="H3" s="44"/>
      <c r="I3" s="1"/>
    </row>
    <row r="4" spans="2:10" ht="16.5" thickTop="1" x14ac:dyDescent="0.25">
      <c r="B4" s="45" t="s">
        <v>42</v>
      </c>
      <c r="C4" s="46"/>
      <c r="D4" s="3">
        <v>41686</v>
      </c>
      <c r="E4" s="4" t="s">
        <v>23</v>
      </c>
      <c r="F4" s="5">
        <v>20</v>
      </c>
      <c r="G4" s="4" t="s">
        <v>41</v>
      </c>
      <c r="H4" s="17">
        <f>SUM(F8:G367)</f>
        <v>6751757.5410346072</v>
      </c>
      <c r="I4" s="6"/>
    </row>
    <row r="5" spans="2:10" ht="16.5" thickBot="1" x14ac:dyDescent="0.3">
      <c r="B5" s="47" t="s">
        <v>43</v>
      </c>
      <c r="C5" s="48"/>
      <c r="D5" s="7">
        <v>6000000</v>
      </c>
      <c r="E5" s="8" t="s">
        <v>22</v>
      </c>
      <c r="F5" s="9">
        <v>1.2E-2</v>
      </c>
      <c r="G5" s="8" t="s">
        <v>40</v>
      </c>
      <c r="H5" s="18">
        <f>SUM(G8:G367)</f>
        <v>751757.54103460582</v>
      </c>
      <c r="I5" s="6"/>
    </row>
    <row r="6" spans="2:10" ht="17.25" thickTop="1" thickBot="1" x14ac:dyDescent="0.3">
      <c r="B6" s="10"/>
      <c r="C6" s="10"/>
      <c r="D6" s="11"/>
      <c r="E6" s="12"/>
      <c r="F6" s="13">
        <f>F4*12</f>
        <v>240</v>
      </c>
      <c r="G6" s="12"/>
      <c r="H6" s="12"/>
      <c r="I6" s="12"/>
      <c r="J6" s="12"/>
    </row>
    <row r="7" spans="2:10" ht="16.5" thickBot="1" x14ac:dyDescent="0.3">
      <c r="B7" s="14" t="s">
        <v>0</v>
      </c>
      <c r="C7" s="14" t="s">
        <v>1</v>
      </c>
      <c r="D7" s="14" t="s">
        <v>2</v>
      </c>
      <c r="E7" s="15" t="s">
        <v>34</v>
      </c>
      <c r="F7" s="15" t="s">
        <v>36</v>
      </c>
      <c r="G7" s="15" t="s">
        <v>35</v>
      </c>
      <c r="H7" s="16" t="s">
        <v>37</v>
      </c>
      <c r="I7" s="10"/>
    </row>
    <row r="8" spans="2:10" ht="16.5" thickTop="1" x14ac:dyDescent="0.25">
      <c r="B8" s="40" t="s">
        <v>39</v>
      </c>
      <c r="C8" s="19">
        <f>IF(COUNTA(D4:D5,F4:F5)=4,1,"")</f>
        <v>1</v>
      </c>
      <c r="D8" s="20">
        <f>IF(C9="","",DATE(YEAR(D4),MONTH(D4)+1,DAY(D4)))</f>
        <v>41714</v>
      </c>
      <c r="E8" s="21">
        <f>IF(C9="","",D5-F8)</f>
        <v>5977867.6769123562</v>
      </c>
      <c r="F8" s="21">
        <f>IF(C9="","",-PPMT($F$5/12,C8,$F$4*12,$D$5))</f>
        <v>22132.323087644181</v>
      </c>
      <c r="G8" s="21">
        <f>IF(C9="","",-IPMT($F$5/12,C8,$F$4*12,$D$5))</f>
        <v>6000</v>
      </c>
      <c r="H8" s="22">
        <f>IF(C9="","",SUM(F8:G8))</f>
        <v>28132.323087644181</v>
      </c>
      <c r="I8" s="10"/>
    </row>
    <row r="9" spans="2:10" x14ac:dyDescent="0.25">
      <c r="B9" s="38"/>
      <c r="C9" s="23">
        <f t="shared" ref="C9:C72" si="0">IF(C8&lt;$F$6,C8+1,"")</f>
        <v>2</v>
      </c>
      <c r="D9" s="24">
        <f>IF(C9="","",DATE(YEAR(D8),MONTH(D8)+1,DAY(D8)))</f>
        <v>41745</v>
      </c>
      <c r="E9" s="25">
        <f>IF(C9="","",E8-F9)</f>
        <v>5955713.2215016242</v>
      </c>
      <c r="F9" s="26">
        <f>IF(C9="","",-PPMT($F$5/12,C9,$F$4*12,$D$5))</f>
        <v>22154.455410731829</v>
      </c>
      <c r="G9" s="26">
        <f>IF(C9="","",-IPMT($F$5/12,C9,$F$4*12,$D$5))</f>
        <v>5977.867676912354</v>
      </c>
      <c r="H9" s="27">
        <f>IF(C9="","",H8+F9+G9)</f>
        <v>56264.646175288362</v>
      </c>
      <c r="I9" s="10"/>
    </row>
    <row r="10" spans="2:10" x14ac:dyDescent="0.25">
      <c r="B10" s="38"/>
      <c r="C10" s="23">
        <f t="shared" si="0"/>
        <v>3</v>
      </c>
      <c r="D10" s="28">
        <f t="shared" ref="D10:D73" si="1">IF(C10="","",DATE(YEAR(D9),MONTH(D9)+1,DAY(D9)))</f>
        <v>41775</v>
      </c>
      <c r="E10" s="29">
        <f t="shared" ref="E10:E73" si="2">IF(C10="","",E9-F10)</f>
        <v>5933536.6116354819</v>
      </c>
      <c r="F10" s="30">
        <f t="shared" ref="F10:F73" si="3">IF(C10="","",-PPMT($F$5/12,C10,$F$4*12,$D$5))</f>
        <v>22176.60986614256</v>
      </c>
      <c r="G10" s="30">
        <f t="shared" ref="G10:G73" si="4">IF(C10="","",-IPMT($F$5/12,C10,$F$4*12,$D$5))</f>
        <v>5955.7132215016236</v>
      </c>
      <c r="H10" s="31">
        <f t="shared" ref="H10:H73" si="5">IF(C10="","",H9+F10+G10)</f>
        <v>84396.969262932544</v>
      </c>
      <c r="I10" s="10"/>
    </row>
    <row r="11" spans="2:10" x14ac:dyDescent="0.25">
      <c r="B11" s="38"/>
      <c r="C11" s="23">
        <f t="shared" si="0"/>
        <v>4</v>
      </c>
      <c r="D11" s="24">
        <f t="shared" si="1"/>
        <v>41806</v>
      </c>
      <c r="E11" s="25">
        <f t="shared" si="2"/>
        <v>5911337.8251594733</v>
      </c>
      <c r="F11" s="26">
        <f t="shared" si="3"/>
        <v>22198.786476008703</v>
      </c>
      <c r="G11" s="26">
        <f t="shared" si="4"/>
        <v>5933.5366116354808</v>
      </c>
      <c r="H11" s="27">
        <f t="shared" si="5"/>
        <v>112529.29235057674</v>
      </c>
      <c r="I11" s="10"/>
    </row>
    <row r="12" spans="2:10" x14ac:dyDescent="0.25">
      <c r="B12" s="38"/>
      <c r="C12" s="23">
        <f t="shared" si="0"/>
        <v>5</v>
      </c>
      <c r="D12" s="28">
        <f t="shared" si="1"/>
        <v>41836</v>
      </c>
      <c r="E12" s="29">
        <f t="shared" si="2"/>
        <v>5889116.8398969891</v>
      </c>
      <c r="F12" s="30">
        <f t="shared" si="3"/>
        <v>22220.985262484712</v>
      </c>
      <c r="G12" s="30">
        <f t="shared" si="4"/>
        <v>5911.3378251594722</v>
      </c>
      <c r="H12" s="31">
        <f t="shared" si="5"/>
        <v>140661.61543822094</v>
      </c>
      <c r="I12" s="10"/>
    </row>
    <row r="13" spans="2:10" x14ac:dyDescent="0.25">
      <c r="B13" s="38"/>
      <c r="C13" s="23">
        <f t="shared" si="0"/>
        <v>6</v>
      </c>
      <c r="D13" s="24">
        <f t="shared" si="1"/>
        <v>41867</v>
      </c>
      <c r="E13" s="25">
        <f t="shared" si="2"/>
        <v>5866873.6336492421</v>
      </c>
      <c r="F13" s="26">
        <f t="shared" si="3"/>
        <v>22243.206247747195</v>
      </c>
      <c r="G13" s="26">
        <f t="shared" si="4"/>
        <v>5889.1168398969876</v>
      </c>
      <c r="H13" s="27">
        <f t="shared" si="5"/>
        <v>168793.93852586512</v>
      </c>
      <c r="I13" s="10"/>
    </row>
    <row r="14" spans="2:10" x14ac:dyDescent="0.25">
      <c r="B14" s="38"/>
      <c r="C14" s="23">
        <f t="shared" si="0"/>
        <v>7</v>
      </c>
      <c r="D14" s="28">
        <f t="shared" si="1"/>
        <v>41898</v>
      </c>
      <c r="E14" s="29">
        <f t="shared" si="2"/>
        <v>5844608.1841952475</v>
      </c>
      <c r="F14" s="30">
        <f t="shared" si="3"/>
        <v>22265.449453994945</v>
      </c>
      <c r="G14" s="30">
        <f t="shared" si="4"/>
        <v>5866.8736336492402</v>
      </c>
      <c r="H14" s="31">
        <f t="shared" si="5"/>
        <v>196926.2616135093</v>
      </c>
      <c r="I14" s="10"/>
    </row>
    <row r="15" spans="2:10" x14ac:dyDescent="0.25">
      <c r="B15" s="38"/>
      <c r="C15" s="23">
        <f t="shared" si="0"/>
        <v>8</v>
      </c>
      <c r="D15" s="24">
        <f t="shared" si="1"/>
        <v>41928</v>
      </c>
      <c r="E15" s="25">
        <f t="shared" si="2"/>
        <v>5822320.4692917988</v>
      </c>
      <c r="F15" s="26">
        <f t="shared" si="3"/>
        <v>22287.714903448938</v>
      </c>
      <c r="G15" s="26">
        <f t="shared" si="4"/>
        <v>5844.6081841952446</v>
      </c>
      <c r="H15" s="27">
        <f t="shared" si="5"/>
        <v>225058.58470115348</v>
      </c>
      <c r="I15" s="10"/>
    </row>
    <row r="16" spans="2:10" x14ac:dyDescent="0.25">
      <c r="B16" s="38"/>
      <c r="C16" s="23">
        <f t="shared" si="0"/>
        <v>9</v>
      </c>
      <c r="D16" s="28">
        <f t="shared" si="1"/>
        <v>41959</v>
      </c>
      <c r="E16" s="29">
        <f t="shared" si="2"/>
        <v>5800010.4666734468</v>
      </c>
      <c r="F16" s="30">
        <f t="shared" si="3"/>
        <v>22310.002618352388</v>
      </c>
      <c r="G16" s="30">
        <f t="shared" si="4"/>
        <v>5822.3204692917971</v>
      </c>
      <c r="H16" s="31">
        <f t="shared" si="5"/>
        <v>253190.90778879766</v>
      </c>
      <c r="I16" s="10"/>
    </row>
    <row r="17" spans="2:9" x14ac:dyDescent="0.25">
      <c r="B17" s="38"/>
      <c r="C17" s="23">
        <f t="shared" si="0"/>
        <v>10</v>
      </c>
      <c r="D17" s="24">
        <f t="shared" si="1"/>
        <v>41989</v>
      </c>
      <c r="E17" s="25">
        <f t="shared" si="2"/>
        <v>5777678.1540524764</v>
      </c>
      <c r="F17" s="26">
        <f t="shared" si="3"/>
        <v>22332.312620970737</v>
      </c>
      <c r="G17" s="26">
        <f t="shared" si="4"/>
        <v>5800.0104666734433</v>
      </c>
      <c r="H17" s="27">
        <f t="shared" si="5"/>
        <v>281323.23087644187</v>
      </c>
      <c r="I17" s="10"/>
    </row>
    <row r="18" spans="2:9" x14ac:dyDescent="0.25">
      <c r="B18" s="38"/>
      <c r="C18" s="23">
        <f t="shared" si="0"/>
        <v>11</v>
      </c>
      <c r="D18" s="28">
        <f t="shared" si="1"/>
        <v>42020</v>
      </c>
      <c r="E18" s="29">
        <f t="shared" si="2"/>
        <v>5755323.5091188848</v>
      </c>
      <c r="F18" s="30">
        <f t="shared" si="3"/>
        <v>22354.64493359171</v>
      </c>
      <c r="G18" s="30">
        <f t="shared" si="4"/>
        <v>5777.6781540524726</v>
      </c>
      <c r="H18" s="31">
        <f t="shared" si="5"/>
        <v>309455.55396408605</v>
      </c>
      <c r="I18" s="10"/>
    </row>
    <row r="19" spans="2:9" ht="16.5" thickBot="1" x14ac:dyDescent="0.3">
      <c r="B19" s="39"/>
      <c r="C19" s="32">
        <f t="shared" si="0"/>
        <v>12</v>
      </c>
      <c r="D19" s="33">
        <f t="shared" si="1"/>
        <v>42051</v>
      </c>
      <c r="E19" s="34">
        <f t="shared" si="2"/>
        <v>5732946.5095403595</v>
      </c>
      <c r="F19" s="35">
        <f t="shared" si="3"/>
        <v>22376.999578525301</v>
      </c>
      <c r="G19" s="35">
        <f t="shared" si="4"/>
        <v>5755.3235091188808</v>
      </c>
      <c r="H19" s="36">
        <f>IF(C19="","",H18+F19+G19)</f>
        <v>337587.87705173023</v>
      </c>
      <c r="I19" s="10"/>
    </row>
    <row r="20" spans="2:9" ht="16.5" thickTop="1" x14ac:dyDescent="0.25">
      <c r="B20" s="37" t="s">
        <v>4</v>
      </c>
      <c r="C20" s="19">
        <f t="shared" si="0"/>
        <v>13</v>
      </c>
      <c r="D20" s="28">
        <f t="shared" si="1"/>
        <v>42079</v>
      </c>
      <c r="E20" s="29">
        <f t="shared" si="2"/>
        <v>5710547.1329622557</v>
      </c>
      <c r="F20" s="30">
        <f t="shared" si="3"/>
        <v>22399.376578103827</v>
      </c>
      <c r="G20" s="30">
        <f t="shared" si="4"/>
        <v>5732.9465095403557</v>
      </c>
      <c r="H20" s="31">
        <f t="shared" si="5"/>
        <v>365720.20013937441</v>
      </c>
      <c r="I20" s="10"/>
    </row>
    <row r="21" spans="2:9" x14ac:dyDescent="0.25">
      <c r="B21" s="38"/>
      <c r="C21" s="23">
        <f t="shared" si="0"/>
        <v>14</v>
      </c>
      <c r="D21" s="24">
        <f t="shared" si="1"/>
        <v>42110</v>
      </c>
      <c r="E21" s="25">
        <f t="shared" si="2"/>
        <v>5688125.3570075734</v>
      </c>
      <c r="F21" s="26">
        <f t="shared" si="3"/>
        <v>22421.775954681932</v>
      </c>
      <c r="G21" s="26">
        <f t="shared" si="4"/>
        <v>5710.5471329622524</v>
      </c>
      <c r="H21" s="27">
        <f t="shared" si="5"/>
        <v>393852.5232270186</v>
      </c>
      <c r="I21" s="10"/>
    </row>
    <row r="22" spans="2:9" x14ac:dyDescent="0.25">
      <c r="B22" s="38"/>
      <c r="C22" s="23">
        <f t="shared" si="0"/>
        <v>15</v>
      </c>
      <c r="D22" s="28">
        <f t="shared" si="1"/>
        <v>42140</v>
      </c>
      <c r="E22" s="29">
        <f t="shared" si="2"/>
        <v>5665681.1592769371</v>
      </c>
      <c r="F22" s="30">
        <f t="shared" si="3"/>
        <v>22444.197730636613</v>
      </c>
      <c r="G22" s="30">
        <f t="shared" si="4"/>
        <v>5688.1253570075705</v>
      </c>
      <c r="H22" s="31">
        <f t="shared" si="5"/>
        <v>421984.84631466278</v>
      </c>
      <c r="I22" s="10"/>
    </row>
    <row r="23" spans="2:9" x14ac:dyDescent="0.25">
      <c r="B23" s="38"/>
      <c r="C23" s="23">
        <f t="shared" si="0"/>
        <v>16</v>
      </c>
      <c r="D23" s="24">
        <f t="shared" si="1"/>
        <v>42171</v>
      </c>
      <c r="E23" s="25">
        <f t="shared" si="2"/>
        <v>5643214.5173485698</v>
      </c>
      <c r="F23" s="26">
        <f t="shared" si="3"/>
        <v>22466.641928367251</v>
      </c>
      <c r="G23" s="26">
        <f t="shared" si="4"/>
        <v>5665.6811592769345</v>
      </c>
      <c r="H23" s="27">
        <f t="shared" si="5"/>
        <v>450117.16940230696</v>
      </c>
      <c r="I23" s="10"/>
    </row>
    <row r="24" spans="2:9" x14ac:dyDescent="0.25">
      <c r="B24" s="38"/>
      <c r="C24" s="23">
        <f t="shared" si="0"/>
        <v>17</v>
      </c>
      <c r="D24" s="28">
        <f t="shared" si="1"/>
        <v>42201</v>
      </c>
      <c r="E24" s="29">
        <f t="shared" si="2"/>
        <v>5620725.4087782744</v>
      </c>
      <c r="F24" s="30">
        <f t="shared" si="3"/>
        <v>22489.108570295615</v>
      </c>
      <c r="G24" s="30">
        <f t="shared" si="4"/>
        <v>5643.214517348566</v>
      </c>
      <c r="H24" s="31">
        <f t="shared" si="5"/>
        <v>478249.49248995114</v>
      </c>
      <c r="I24" s="10"/>
    </row>
    <row r="25" spans="2:9" x14ac:dyDescent="0.25">
      <c r="B25" s="38"/>
      <c r="C25" s="23">
        <f t="shared" si="0"/>
        <v>18</v>
      </c>
      <c r="D25" s="24">
        <f t="shared" si="1"/>
        <v>42232</v>
      </c>
      <c r="E25" s="25">
        <f t="shared" si="2"/>
        <v>5598213.8110994082</v>
      </c>
      <c r="F25" s="26">
        <f t="shared" si="3"/>
        <v>22511.597678865914</v>
      </c>
      <c r="G25" s="26">
        <f t="shared" si="4"/>
        <v>5620.7254087782703</v>
      </c>
      <c r="H25" s="27">
        <f t="shared" si="5"/>
        <v>506381.81557759532</v>
      </c>
      <c r="I25" s="10"/>
    </row>
    <row r="26" spans="2:9" x14ac:dyDescent="0.25">
      <c r="B26" s="38"/>
      <c r="C26" s="23">
        <f t="shared" si="0"/>
        <v>19</v>
      </c>
      <c r="D26" s="28">
        <f t="shared" si="1"/>
        <v>42263</v>
      </c>
      <c r="E26" s="29">
        <f t="shared" si="2"/>
        <v>5575679.701822863</v>
      </c>
      <c r="F26" s="30">
        <f t="shared" si="3"/>
        <v>22534.109276544779</v>
      </c>
      <c r="G26" s="30">
        <f t="shared" si="4"/>
        <v>5598.2138110994038</v>
      </c>
      <c r="H26" s="31">
        <f t="shared" si="5"/>
        <v>534514.13866523956</v>
      </c>
      <c r="I26" s="10"/>
    </row>
    <row r="27" spans="2:9" x14ac:dyDescent="0.25">
      <c r="B27" s="38"/>
      <c r="C27" s="23">
        <f t="shared" si="0"/>
        <v>20</v>
      </c>
      <c r="D27" s="24">
        <f t="shared" si="1"/>
        <v>42293</v>
      </c>
      <c r="E27" s="25">
        <f t="shared" si="2"/>
        <v>5553123.0584370419</v>
      </c>
      <c r="F27" s="26">
        <f t="shared" si="3"/>
        <v>22556.643385821324</v>
      </c>
      <c r="G27" s="26">
        <f t="shared" si="4"/>
        <v>5575.6797018228599</v>
      </c>
      <c r="H27" s="27">
        <f t="shared" si="5"/>
        <v>562646.46175288374</v>
      </c>
      <c r="I27" s="10"/>
    </row>
    <row r="28" spans="2:9" x14ac:dyDescent="0.25">
      <c r="B28" s="38"/>
      <c r="C28" s="23">
        <f t="shared" si="0"/>
        <v>21</v>
      </c>
      <c r="D28" s="28">
        <f t="shared" si="1"/>
        <v>42324</v>
      </c>
      <c r="E28" s="29">
        <f t="shared" si="2"/>
        <v>5530543.8584078345</v>
      </c>
      <c r="F28" s="30">
        <f t="shared" si="3"/>
        <v>22579.200029207146</v>
      </c>
      <c r="G28" s="30">
        <f t="shared" si="4"/>
        <v>5553.1230584370396</v>
      </c>
      <c r="H28" s="31">
        <f t="shared" si="5"/>
        <v>590778.78484052792</v>
      </c>
      <c r="I28" s="10"/>
    </row>
    <row r="29" spans="2:9" x14ac:dyDescent="0.25">
      <c r="B29" s="38"/>
      <c r="C29" s="23">
        <f t="shared" si="0"/>
        <v>22</v>
      </c>
      <c r="D29" s="24">
        <f t="shared" si="1"/>
        <v>42354</v>
      </c>
      <c r="E29" s="25">
        <f t="shared" si="2"/>
        <v>5507942.0791785978</v>
      </c>
      <c r="F29" s="26">
        <f t="shared" si="3"/>
        <v>22601.779229236348</v>
      </c>
      <c r="G29" s="26">
        <f t="shared" si="4"/>
        <v>5530.5438584078311</v>
      </c>
      <c r="H29" s="27">
        <f t="shared" si="5"/>
        <v>618911.1079281721</v>
      </c>
      <c r="I29" s="10"/>
    </row>
    <row r="30" spans="2:9" x14ac:dyDescent="0.25">
      <c r="B30" s="38"/>
      <c r="C30" s="23">
        <f t="shared" si="0"/>
        <v>23</v>
      </c>
      <c r="D30" s="28">
        <f t="shared" si="1"/>
        <v>42385</v>
      </c>
      <c r="E30" s="29">
        <f t="shared" si="2"/>
        <v>5485317.698170132</v>
      </c>
      <c r="F30" s="30">
        <f t="shared" si="3"/>
        <v>22624.381008465589</v>
      </c>
      <c r="G30" s="30">
        <f t="shared" si="4"/>
        <v>5507.9420791785951</v>
      </c>
      <c r="H30" s="31">
        <f t="shared" si="5"/>
        <v>647043.43101581628</v>
      </c>
      <c r="I30" s="10"/>
    </row>
    <row r="31" spans="2:9" ht="16.5" thickBot="1" x14ac:dyDescent="0.3">
      <c r="B31" s="39"/>
      <c r="C31" s="32">
        <f t="shared" si="0"/>
        <v>24</v>
      </c>
      <c r="D31" s="33">
        <f t="shared" si="1"/>
        <v>42416</v>
      </c>
      <c r="E31" s="34">
        <f t="shared" si="2"/>
        <v>5462670.6927806577</v>
      </c>
      <c r="F31" s="35">
        <f t="shared" si="3"/>
        <v>22647.005389474052</v>
      </c>
      <c r="G31" s="35">
        <f t="shared" si="4"/>
        <v>5485.317698170129</v>
      </c>
      <c r="H31" s="36">
        <f t="shared" si="5"/>
        <v>675175.75410346047</v>
      </c>
      <c r="I31" s="10"/>
    </row>
    <row r="32" spans="2:9" ht="16.5" thickTop="1" x14ac:dyDescent="0.25">
      <c r="B32" s="41" t="s">
        <v>5</v>
      </c>
      <c r="C32" s="19">
        <f t="shared" si="0"/>
        <v>25</v>
      </c>
      <c r="D32" s="28">
        <f t="shared" si="1"/>
        <v>42445</v>
      </c>
      <c r="E32" s="29">
        <f t="shared" si="2"/>
        <v>5440001.0403857939</v>
      </c>
      <c r="F32" s="30">
        <f t="shared" si="3"/>
        <v>22669.652394863529</v>
      </c>
      <c r="G32" s="30">
        <f t="shared" si="4"/>
        <v>5462.6706927806554</v>
      </c>
      <c r="H32" s="31">
        <f t="shared" si="5"/>
        <v>703308.07719110465</v>
      </c>
      <c r="I32" s="10"/>
    </row>
    <row r="33" spans="2:9" x14ac:dyDescent="0.25">
      <c r="B33" s="40"/>
      <c r="C33" s="23">
        <f t="shared" si="0"/>
        <v>26</v>
      </c>
      <c r="D33" s="24">
        <f t="shared" si="1"/>
        <v>42476</v>
      </c>
      <c r="E33" s="25">
        <f t="shared" si="2"/>
        <v>5417308.7183385352</v>
      </c>
      <c r="F33" s="26">
        <f t="shared" si="3"/>
        <v>22692.322047258389</v>
      </c>
      <c r="G33" s="26">
        <f t="shared" si="4"/>
        <v>5440.0010403857923</v>
      </c>
      <c r="H33" s="27">
        <f t="shared" si="5"/>
        <v>731440.40027874883</v>
      </c>
      <c r="I33" s="10"/>
    </row>
    <row r="34" spans="2:9" x14ac:dyDescent="0.25">
      <c r="B34" s="40"/>
      <c r="C34" s="23">
        <f t="shared" si="0"/>
        <v>27</v>
      </c>
      <c r="D34" s="28">
        <f t="shared" si="1"/>
        <v>42506</v>
      </c>
      <c r="E34" s="29">
        <f t="shared" si="2"/>
        <v>5394593.7039692299</v>
      </c>
      <c r="F34" s="30">
        <f t="shared" si="3"/>
        <v>22715.014369305649</v>
      </c>
      <c r="G34" s="30">
        <f t="shared" si="4"/>
        <v>5417.3087183385333</v>
      </c>
      <c r="H34" s="31">
        <f t="shared" si="5"/>
        <v>759572.72336639301</v>
      </c>
      <c r="I34" s="10"/>
    </row>
    <row r="35" spans="2:9" x14ac:dyDescent="0.25">
      <c r="B35" s="40"/>
      <c r="C35" s="23">
        <f t="shared" si="0"/>
        <v>28</v>
      </c>
      <c r="D35" s="24">
        <f t="shared" si="1"/>
        <v>42537</v>
      </c>
      <c r="E35" s="25">
        <f t="shared" si="2"/>
        <v>5371855.9745855546</v>
      </c>
      <c r="F35" s="26">
        <f t="shared" si="3"/>
        <v>22737.729383674956</v>
      </c>
      <c r="G35" s="26">
        <f t="shared" si="4"/>
        <v>5394.593703969228</v>
      </c>
      <c r="H35" s="27">
        <f t="shared" si="5"/>
        <v>787705.04645403719</v>
      </c>
      <c r="I35" s="10"/>
    </row>
    <row r="36" spans="2:9" x14ac:dyDescent="0.25">
      <c r="B36" s="40"/>
      <c r="C36" s="23">
        <f t="shared" si="0"/>
        <v>29</v>
      </c>
      <c r="D36" s="28">
        <f t="shared" si="1"/>
        <v>42567</v>
      </c>
      <c r="E36" s="29">
        <f t="shared" si="2"/>
        <v>5349095.5074724955</v>
      </c>
      <c r="F36" s="30">
        <f t="shared" si="3"/>
        <v>22760.467113058632</v>
      </c>
      <c r="G36" s="30">
        <f t="shared" si="4"/>
        <v>5371.8559745855528</v>
      </c>
      <c r="H36" s="31">
        <f t="shared" si="5"/>
        <v>815837.36954168137</v>
      </c>
      <c r="I36" s="10"/>
    </row>
    <row r="37" spans="2:9" x14ac:dyDescent="0.25">
      <c r="B37" s="40"/>
      <c r="C37" s="23">
        <f t="shared" si="0"/>
        <v>30</v>
      </c>
      <c r="D37" s="24">
        <f t="shared" si="1"/>
        <v>42598</v>
      </c>
      <c r="E37" s="25">
        <f t="shared" si="2"/>
        <v>5326312.2798923235</v>
      </c>
      <c r="F37" s="26">
        <f t="shared" si="3"/>
        <v>22783.22758017169</v>
      </c>
      <c r="G37" s="26">
        <f t="shared" si="4"/>
        <v>5349.0955074724934</v>
      </c>
      <c r="H37" s="27">
        <f t="shared" si="5"/>
        <v>843969.69262932555</v>
      </c>
      <c r="I37" s="10"/>
    </row>
    <row r="38" spans="2:9" x14ac:dyDescent="0.25">
      <c r="B38" s="40"/>
      <c r="C38" s="23">
        <f t="shared" si="0"/>
        <v>31</v>
      </c>
      <c r="D38" s="28">
        <f t="shared" si="1"/>
        <v>42629</v>
      </c>
      <c r="E38" s="29">
        <f t="shared" si="2"/>
        <v>5303506.2690845719</v>
      </c>
      <c r="F38" s="30">
        <f t="shared" si="3"/>
        <v>22806.01080775186</v>
      </c>
      <c r="G38" s="30">
        <f t="shared" si="4"/>
        <v>5326.3122798923223</v>
      </c>
      <c r="H38" s="31">
        <f t="shared" si="5"/>
        <v>872102.01571696973</v>
      </c>
      <c r="I38" s="10"/>
    </row>
    <row r="39" spans="2:9" x14ac:dyDescent="0.25">
      <c r="B39" s="40"/>
      <c r="C39" s="23">
        <f t="shared" si="0"/>
        <v>32</v>
      </c>
      <c r="D39" s="24">
        <f t="shared" si="1"/>
        <v>42659</v>
      </c>
      <c r="E39" s="25">
        <f t="shared" si="2"/>
        <v>5280677.4522660123</v>
      </c>
      <c r="F39" s="26">
        <f t="shared" si="3"/>
        <v>22828.816818559615</v>
      </c>
      <c r="G39" s="26">
        <f t="shared" si="4"/>
        <v>5303.5062690845707</v>
      </c>
      <c r="H39" s="27">
        <f t="shared" si="5"/>
        <v>900234.33880461392</v>
      </c>
      <c r="I39" s="10"/>
    </row>
    <row r="40" spans="2:9" x14ac:dyDescent="0.25">
      <c r="B40" s="40"/>
      <c r="C40" s="23">
        <f t="shared" si="0"/>
        <v>33</v>
      </c>
      <c r="D40" s="28">
        <f t="shared" si="1"/>
        <v>42690</v>
      </c>
      <c r="E40" s="29">
        <f t="shared" si="2"/>
        <v>5257825.8066306338</v>
      </c>
      <c r="F40" s="30">
        <f t="shared" si="3"/>
        <v>22851.645635378172</v>
      </c>
      <c r="G40" s="30">
        <f t="shared" si="4"/>
        <v>5280.6774522660116</v>
      </c>
      <c r="H40" s="31">
        <f t="shared" si="5"/>
        <v>928366.6618922581</v>
      </c>
      <c r="I40" s="10"/>
    </row>
    <row r="41" spans="2:9" x14ac:dyDescent="0.25">
      <c r="B41" s="40"/>
      <c r="C41" s="23">
        <f t="shared" si="0"/>
        <v>34</v>
      </c>
      <c r="D41" s="24">
        <f t="shared" si="1"/>
        <v>42720</v>
      </c>
      <c r="E41" s="25">
        <f t="shared" si="2"/>
        <v>5234951.3093496198</v>
      </c>
      <c r="F41" s="26">
        <f t="shared" si="3"/>
        <v>22874.497281013548</v>
      </c>
      <c r="G41" s="26">
        <f t="shared" si="4"/>
        <v>5257.8258066306325</v>
      </c>
      <c r="H41" s="27">
        <f t="shared" si="5"/>
        <v>956498.98497990228</v>
      </c>
      <c r="I41" s="10"/>
    </row>
    <row r="42" spans="2:9" x14ac:dyDescent="0.25">
      <c r="B42" s="40"/>
      <c r="C42" s="23">
        <f t="shared" si="0"/>
        <v>35</v>
      </c>
      <c r="D42" s="28">
        <f t="shared" si="1"/>
        <v>42751</v>
      </c>
      <c r="E42" s="29">
        <f t="shared" si="2"/>
        <v>5212053.9375713253</v>
      </c>
      <c r="F42" s="30">
        <f t="shared" si="3"/>
        <v>22897.371778294564</v>
      </c>
      <c r="G42" s="30">
        <f t="shared" si="4"/>
        <v>5234.9513093496189</v>
      </c>
      <c r="H42" s="31">
        <f t="shared" si="5"/>
        <v>984631.30806754646</v>
      </c>
      <c r="I42" s="10"/>
    </row>
    <row r="43" spans="2:9" ht="16.5" thickBot="1" x14ac:dyDescent="0.3">
      <c r="B43" s="42"/>
      <c r="C43" s="32">
        <f t="shared" si="0"/>
        <v>36</v>
      </c>
      <c r="D43" s="33">
        <f t="shared" si="1"/>
        <v>42782</v>
      </c>
      <c r="E43" s="34">
        <f t="shared" si="2"/>
        <v>5189133.6684212526</v>
      </c>
      <c r="F43" s="35">
        <f t="shared" si="3"/>
        <v>22920.269150072858</v>
      </c>
      <c r="G43" s="35">
        <f t="shared" si="4"/>
        <v>5212.0539375713252</v>
      </c>
      <c r="H43" s="36">
        <f t="shared" si="5"/>
        <v>1012763.6311551906</v>
      </c>
      <c r="I43" s="10"/>
    </row>
    <row r="44" spans="2:9" ht="16.5" thickTop="1" x14ac:dyDescent="0.25">
      <c r="B44" s="37" t="s">
        <v>6</v>
      </c>
      <c r="C44" s="19">
        <f t="shared" si="0"/>
        <v>37</v>
      </c>
      <c r="D44" s="28">
        <f t="shared" si="1"/>
        <v>42810</v>
      </c>
      <c r="E44" s="29">
        <f t="shared" si="2"/>
        <v>5166190.4790020296</v>
      </c>
      <c r="F44" s="30">
        <f t="shared" si="3"/>
        <v>22943.189419222934</v>
      </c>
      <c r="G44" s="30">
        <f t="shared" si="4"/>
        <v>5189.133668421252</v>
      </c>
      <c r="H44" s="31">
        <f t="shared" si="5"/>
        <v>1040895.9542428348</v>
      </c>
      <c r="I44" s="10"/>
    </row>
    <row r="45" spans="2:9" x14ac:dyDescent="0.25">
      <c r="B45" s="38"/>
      <c r="C45" s="23">
        <f t="shared" si="0"/>
        <v>38</v>
      </c>
      <c r="D45" s="24">
        <f t="shared" si="1"/>
        <v>42841</v>
      </c>
      <c r="E45" s="25">
        <f t="shared" si="2"/>
        <v>5143224.3463933878</v>
      </c>
      <c r="F45" s="26">
        <f t="shared" si="3"/>
        <v>22966.132608642154</v>
      </c>
      <c r="G45" s="26">
        <f t="shared" si="4"/>
        <v>5166.190479002029</v>
      </c>
      <c r="H45" s="27">
        <f t="shared" si="5"/>
        <v>1069028.2773304789</v>
      </c>
      <c r="I45" s="10"/>
    </row>
    <row r="46" spans="2:9" x14ac:dyDescent="0.25">
      <c r="B46" s="38"/>
      <c r="C46" s="23">
        <f t="shared" si="0"/>
        <v>39</v>
      </c>
      <c r="D46" s="28">
        <f t="shared" si="1"/>
        <v>42871</v>
      </c>
      <c r="E46" s="29">
        <f t="shared" si="2"/>
        <v>5120235.2476521367</v>
      </c>
      <c r="F46" s="30">
        <f t="shared" si="3"/>
        <v>22989.098741250797</v>
      </c>
      <c r="G46" s="30">
        <f t="shared" si="4"/>
        <v>5143.2243463933864</v>
      </c>
      <c r="H46" s="31">
        <f t="shared" si="5"/>
        <v>1097160.6004181232</v>
      </c>
      <c r="I46" s="10"/>
    </row>
    <row r="47" spans="2:9" x14ac:dyDescent="0.25">
      <c r="B47" s="38"/>
      <c r="C47" s="23">
        <f t="shared" si="0"/>
        <v>40</v>
      </c>
      <c r="D47" s="24">
        <f t="shared" si="1"/>
        <v>42902</v>
      </c>
      <c r="E47" s="25">
        <f t="shared" si="2"/>
        <v>5097223.1598121449</v>
      </c>
      <c r="F47" s="26">
        <f t="shared" si="3"/>
        <v>23012.087839992048</v>
      </c>
      <c r="G47" s="26">
        <f t="shared" si="4"/>
        <v>5120.2352476521364</v>
      </c>
      <c r="H47" s="27">
        <f t="shared" si="5"/>
        <v>1125292.9235057672</v>
      </c>
      <c r="I47" s="10"/>
    </row>
    <row r="48" spans="2:9" x14ac:dyDescent="0.25">
      <c r="B48" s="38"/>
      <c r="C48" s="23">
        <f t="shared" si="0"/>
        <v>41</v>
      </c>
      <c r="D48" s="28">
        <f t="shared" si="1"/>
        <v>42932</v>
      </c>
      <c r="E48" s="29">
        <f t="shared" si="2"/>
        <v>5074188.0598843126</v>
      </c>
      <c r="F48" s="30">
        <f t="shared" si="3"/>
        <v>23035.099927832041</v>
      </c>
      <c r="G48" s="30">
        <f t="shared" si="4"/>
        <v>5097.2231598121434</v>
      </c>
      <c r="H48" s="31">
        <f t="shared" si="5"/>
        <v>1153425.2465934115</v>
      </c>
      <c r="I48" s="10"/>
    </row>
    <row r="49" spans="2:9" x14ac:dyDescent="0.25">
      <c r="B49" s="38"/>
      <c r="C49" s="23">
        <f t="shared" si="0"/>
        <v>42</v>
      </c>
      <c r="D49" s="24">
        <f t="shared" si="1"/>
        <v>42963</v>
      </c>
      <c r="E49" s="25">
        <f t="shared" si="2"/>
        <v>5051129.9248565529</v>
      </c>
      <c r="F49" s="26">
        <f t="shared" si="3"/>
        <v>23058.135027759872</v>
      </c>
      <c r="G49" s="26">
        <f t="shared" si="4"/>
        <v>5074.1880598843118</v>
      </c>
      <c r="H49" s="27">
        <f t="shared" si="5"/>
        <v>1181557.5696810558</v>
      </c>
      <c r="I49" s="10"/>
    </row>
    <row r="50" spans="2:9" x14ac:dyDescent="0.25">
      <c r="B50" s="38"/>
      <c r="C50" s="23">
        <f t="shared" si="0"/>
        <v>43</v>
      </c>
      <c r="D50" s="28">
        <f t="shared" si="1"/>
        <v>42994</v>
      </c>
      <c r="E50" s="29">
        <f t="shared" si="2"/>
        <v>5028048.7316937651</v>
      </c>
      <c r="F50" s="30">
        <f t="shared" si="3"/>
        <v>23081.193162787633</v>
      </c>
      <c r="G50" s="30">
        <f t="shared" si="4"/>
        <v>5051.129924856552</v>
      </c>
      <c r="H50" s="31">
        <f t="shared" si="5"/>
        <v>1209689.8927687001</v>
      </c>
      <c r="I50" s="10"/>
    </row>
    <row r="51" spans="2:9" x14ac:dyDescent="0.25">
      <c r="B51" s="38"/>
      <c r="C51" s="23">
        <f t="shared" si="0"/>
        <v>44</v>
      </c>
      <c r="D51" s="24">
        <f t="shared" si="1"/>
        <v>43024</v>
      </c>
      <c r="E51" s="25">
        <f t="shared" si="2"/>
        <v>5004944.4573378144</v>
      </c>
      <c r="F51" s="26">
        <f t="shared" si="3"/>
        <v>23104.27435595042</v>
      </c>
      <c r="G51" s="26">
        <f t="shared" si="4"/>
        <v>5028.0487316937642</v>
      </c>
      <c r="H51" s="27">
        <f t="shared" si="5"/>
        <v>1237822.2158563444</v>
      </c>
      <c r="I51" s="10"/>
    </row>
    <row r="52" spans="2:9" x14ac:dyDescent="0.25">
      <c r="B52" s="38"/>
      <c r="C52" s="23">
        <f t="shared" si="0"/>
        <v>45</v>
      </c>
      <c r="D52" s="28">
        <f t="shared" si="1"/>
        <v>43055</v>
      </c>
      <c r="E52" s="29">
        <f t="shared" si="2"/>
        <v>4981817.0787075078</v>
      </c>
      <c r="F52" s="30">
        <f t="shared" si="3"/>
        <v>23127.378630306368</v>
      </c>
      <c r="G52" s="30">
        <f t="shared" si="4"/>
        <v>5004.9444573378141</v>
      </c>
      <c r="H52" s="31">
        <f t="shared" si="5"/>
        <v>1265954.5389439885</v>
      </c>
      <c r="I52" s="10"/>
    </row>
    <row r="53" spans="2:9" x14ac:dyDescent="0.25">
      <c r="B53" s="38"/>
      <c r="C53" s="23">
        <f t="shared" si="0"/>
        <v>46</v>
      </c>
      <c r="D53" s="24">
        <f t="shared" si="1"/>
        <v>43085</v>
      </c>
      <c r="E53" s="25">
        <f t="shared" si="2"/>
        <v>4958666.5726985708</v>
      </c>
      <c r="F53" s="26">
        <f t="shared" si="3"/>
        <v>23150.506008936674</v>
      </c>
      <c r="G53" s="26">
        <f t="shared" si="4"/>
        <v>4981.8170787075069</v>
      </c>
      <c r="H53" s="27">
        <f t="shared" si="5"/>
        <v>1294086.8620316328</v>
      </c>
      <c r="I53" s="10"/>
    </row>
    <row r="54" spans="2:9" x14ac:dyDescent="0.25">
      <c r="B54" s="38"/>
      <c r="C54" s="23">
        <f t="shared" si="0"/>
        <v>47</v>
      </c>
      <c r="D54" s="28">
        <f t="shared" si="1"/>
        <v>43116</v>
      </c>
      <c r="E54" s="29">
        <f t="shared" si="2"/>
        <v>4935492.9161836253</v>
      </c>
      <c r="F54" s="30">
        <f t="shared" si="3"/>
        <v>23173.656514945611</v>
      </c>
      <c r="G54" s="30">
        <f t="shared" si="4"/>
        <v>4958.6665726985721</v>
      </c>
      <c r="H54" s="31">
        <f t="shared" si="5"/>
        <v>1322219.1851192771</v>
      </c>
      <c r="I54" s="10"/>
    </row>
    <row r="55" spans="2:9" ht="16.5" thickBot="1" x14ac:dyDescent="0.3">
      <c r="B55" s="39"/>
      <c r="C55" s="32">
        <f t="shared" si="0"/>
        <v>48</v>
      </c>
      <c r="D55" s="33">
        <f t="shared" si="1"/>
        <v>43147</v>
      </c>
      <c r="E55" s="34">
        <f t="shared" si="2"/>
        <v>4912296.0860121651</v>
      </c>
      <c r="F55" s="35">
        <f t="shared" si="3"/>
        <v>23196.830171460559</v>
      </c>
      <c r="G55" s="35">
        <f t="shared" si="4"/>
        <v>4935.4929161836253</v>
      </c>
      <c r="H55" s="36">
        <f t="shared" si="5"/>
        <v>1350351.5082069212</v>
      </c>
      <c r="I55" s="10"/>
    </row>
    <row r="56" spans="2:9" ht="16.5" thickTop="1" x14ac:dyDescent="0.25">
      <c r="B56" s="37" t="s">
        <v>7</v>
      </c>
      <c r="C56" s="19">
        <f t="shared" si="0"/>
        <v>49</v>
      </c>
      <c r="D56" s="28">
        <f t="shared" si="1"/>
        <v>43175</v>
      </c>
      <c r="E56" s="29">
        <f t="shared" si="2"/>
        <v>4889076.0590105327</v>
      </c>
      <c r="F56" s="30">
        <f t="shared" si="3"/>
        <v>23220.027001632017</v>
      </c>
      <c r="G56" s="30">
        <f t="shared" si="4"/>
        <v>4912.2960860121639</v>
      </c>
      <c r="H56" s="31">
        <f t="shared" si="5"/>
        <v>1378483.8312945652</v>
      </c>
      <c r="I56" s="10"/>
    </row>
    <row r="57" spans="2:9" x14ac:dyDescent="0.25">
      <c r="B57" s="38"/>
      <c r="C57" s="23">
        <f t="shared" si="0"/>
        <v>50</v>
      </c>
      <c r="D57" s="24">
        <f t="shared" si="1"/>
        <v>43206</v>
      </c>
      <c r="E57" s="25">
        <f t="shared" si="2"/>
        <v>4865832.8119818987</v>
      </c>
      <c r="F57" s="26">
        <f t="shared" si="3"/>
        <v>23243.24702863365</v>
      </c>
      <c r="G57" s="26">
        <f t="shared" si="4"/>
        <v>4889.0760590105328</v>
      </c>
      <c r="H57" s="27">
        <f t="shared" si="5"/>
        <v>1406616.1543822095</v>
      </c>
      <c r="I57" s="10"/>
    </row>
    <row r="58" spans="2:9" x14ac:dyDescent="0.25">
      <c r="B58" s="38"/>
      <c r="C58" s="23">
        <f t="shared" si="0"/>
        <v>51</v>
      </c>
      <c r="D58" s="28">
        <f t="shared" si="1"/>
        <v>43236</v>
      </c>
      <c r="E58" s="29">
        <f t="shared" si="2"/>
        <v>4842566.3217062363</v>
      </c>
      <c r="F58" s="30">
        <f t="shared" si="3"/>
        <v>23266.49027566228</v>
      </c>
      <c r="G58" s="30">
        <f t="shared" si="4"/>
        <v>4865.8328119818989</v>
      </c>
      <c r="H58" s="31">
        <f t="shared" si="5"/>
        <v>1434748.4774698538</v>
      </c>
      <c r="I58" s="10"/>
    </row>
    <row r="59" spans="2:9" x14ac:dyDescent="0.25">
      <c r="B59" s="38"/>
      <c r="C59" s="23">
        <f t="shared" si="0"/>
        <v>52</v>
      </c>
      <c r="D59" s="24">
        <f t="shared" si="1"/>
        <v>43267</v>
      </c>
      <c r="E59" s="25">
        <f t="shared" si="2"/>
        <v>4819276.564940298</v>
      </c>
      <c r="F59" s="26">
        <f t="shared" si="3"/>
        <v>23289.756765937946</v>
      </c>
      <c r="G59" s="26">
        <f t="shared" si="4"/>
        <v>4842.5663217062374</v>
      </c>
      <c r="H59" s="27">
        <f t="shared" si="5"/>
        <v>1462880.8005574979</v>
      </c>
      <c r="I59" s="10"/>
    </row>
    <row r="60" spans="2:9" x14ac:dyDescent="0.25">
      <c r="B60" s="38"/>
      <c r="C60" s="23">
        <f t="shared" si="0"/>
        <v>53</v>
      </c>
      <c r="D60" s="28">
        <f t="shared" si="1"/>
        <v>43297</v>
      </c>
      <c r="E60" s="29">
        <f t="shared" si="2"/>
        <v>4795963.518417594</v>
      </c>
      <c r="F60" s="30">
        <f t="shared" si="3"/>
        <v>23313.046522703884</v>
      </c>
      <c r="G60" s="30">
        <f t="shared" si="4"/>
        <v>4819.2765649402991</v>
      </c>
      <c r="H60" s="31">
        <f t="shared" si="5"/>
        <v>1491013.1236451422</v>
      </c>
      <c r="I60" s="10"/>
    </row>
    <row r="61" spans="2:9" x14ac:dyDescent="0.25">
      <c r="B61" s="38"/>
      <c r="C61" s="23">
        <f t="shared" si="0"/>
        <v>54</v>
      </c>
      <c r="D61" s="24">
        <f t="shared" si="1"/>
        <v>43328</v>
      </c>
      <c r="E61" s="25">
        <f t="shared" si="2"/>
        <v>4772627.1588483676</v>
      </c>
      <c r="F61" s="26">
        <f t="shared" si="3"/>
        <v>23336.359569226588</v>
      </c>
      <c r="G61" s="26">
        <f t="shared" si="4"/>
        <v>4795.9635184175941</v>
      </c>
      <c r="H61" s="27">
        <f t="shared" si="5"/>
        <v>1519145.4467327865</v>
      </c>
      <c r="I61" s="10"/>
    </row>
    <row r="62" spans="2:9" x14ac:dyDescent="0.25">
      <c r="B62" s="38"/>
      <c r="C62" s="23">
        <f t="shared" si="0"/>
        <v>55</v>
      </c>
      <c r="D62" s="28">
        <f t="shared" si="1"/>
        <v>43359</v>
      </c>
      <c r="E62" s="29">
        <f t="shared" si="2"/>
        <v>4749267.4629195714</v>
      </c>
      <c r="F62" s="30">
        <f t="shared" si="3"/>
        <v>23359.695928795816</v>
      </c>
      <c r="G62" s="30">
        <f t="shared" si="4"/>
        <v>4772.6271588483678</v>
      </c>
      <c r="H62" s="31">
        <f t="shared" si="5"/>
        <v>1547277.7698204305</v>
      </c>
      <c r="I62" s="10"/>
    </row>
    <row r="63" spans="2:9" x14ac:dyDescent="0.25">
      <c r="B63" s="38"/>
      <c r="C63" s="23">
        <f t="shared" si="0"/>
        <v>56</v>
      </c>
      <c r="D63" s="24">
        <f t="shared" si="1"/>
        <v>43389</v>
      </c>
      <c r="E63" s="25">
        <f t="shared" si="2"/>
        <v>4725884.4072948471</v>
      </c>
      <c r="F63" s="26">
        <f t="shared" si="3"/>
        <v>23383.05562472461</v>
      </c>
      <c r="G63" s="26">
        <f t="shared" si="4"/>
        <v>4749.2674629195726</v>
      </c>
      <c r="H63" s="27">
        <f t="shared" si="5"/>
        <v>1575410.0929080746</v>
      </c>
      <c r="I63" s="10"/>
    </row>
    <row r="64" spans="2:9" x14ac:dyDescent="0.25">
      <c r="B64" s="38"/>
      <c r="C64" s="23">
        <f t="shared" si="0"/>
        <v>57</v>
      </c>
      <c r="D64" s="28">
        <f t="shared" si="1"/>
        <v>43420</v>
      </c>
      <c r="E64" s="29">
        <f t="shared" si="2"/>
        <v>4702477.9686144982</v>
      </c>
      <c r="F64" s="30">
        <f t="shared" si="3"/>
        <v>23406.438680349336</v>
      </c>
      <c r="G64" s="30">
        <f t="shared" si="4"/>
        <v>4725.8844072948477</v>
      </c>
      <c r="H64" s="31">
        <f t="shared" si="5"/>
        <v>1603542.4159957189</v>
      </c>
      <c r="I64" s="10"/>
    </row>
    <row r="65" spans="2:9" x14ac:dyDescent="0.25">
      <c r="B65" s="38"/>
      <c r="C65" s="23">
        <f t="shared" si="0"/>
        <v>58</v>
      </c>
      <c r="D65" s="24">
        <f t="shared" si="1"/>
        <v>43450</v>
      </c>
      <c r="E65" s="25">
        <f t="shared" si="2"/>
        <v>4679048.1234954689</v>
      </c>
      <c r="F65" s="26">
        <f t="shared" si="3"/>
        <v>23429.845119029684</v>
      </c>
      <c r="G65" s="26">
        <f t="shared" si="4"/>
        <v>4702.4779686144984</v>
      </c>
      <c r="H65" s="27">
        <f t="shared" si="5"/>
        <v>1631674.7390833632</v>
      </c>
      <c r="I65" s="10"/>
    </row>
    <row r="66" spans="2:9" x14ac:dyDescent="0.25">
      <c r="B66" s="38"/>
      <c r="C66" s="23">
        <f t="shared" si="0"/>
        <v>59</v>
      </c>
      <c r="D66" s="28">
        <f t="shared" si="1"/>
        <v>43481</v>
      </c>
      <c r="E66" s="29">
        <f t="shared" si="2"/>
        <v>4655594.8485313198</v>
      </c>
      <c r="F66" s="30">
        <f t="shared" si="3"/>
        <v>23453.274964148713</v>
      </c>
      <c r="G66" s="30">
        <f t="shared" si="4"/>
        <v>4679.0481234954686</v>
      </c>
      <c r="H66" s="31">
        <f t="shared" si="5"/>
        <v>1659807.0621710073</v>
      </c>
      <c r="I66" s="10"/>
    </row>
    <row r="67" spans="2:9" ht="16.5" thickBot="1" x14ac:dyDescent="0.3">
      <c r="B67" s="39"/>
      <c r="C67" s="32">
        <f t="shared" si="0"/>
        <v>60</v>
      </c>
      <c r="D67" s="33">
        <f t="shared" si="1"/>
        <v>43512</v>
      </c>
      <c r="E67" s="34">
        <f t="shared" si="2"/>
        <v>4632118.1202922072</v>
      </c>
      <c r="F67" s="35">
        <f t="shared" si="3"/>
        <v>23476.728239112861</v>
      </c>
      <c r="G67" s="35">
        <f t="shared" si="4"/>
        <v>4655.5948485313211</v>
      </c>
      <c r="H67" s="36">
        <f t="shared" si="5"/>
        <v>1687939.3852586513</v>
      </c>
      <c r="I67" s="10"/>
    </row>
    <row r="68" spans="2:9" ht="16.5" thickTop="1" x14ac:dyDescent="0.25">
      <c r="B68" s="37" t="s">
        <v>8</v>
      </c>
      <c r="C68" s="19">
        <f t="shared" si="0"/>
        <v>61</v>
      </c>
      <c r="D68" s="28">
        <f t="shared" si="1"/>
        <v>43540</v>
      </c>
      <c r="E68" s="29">
        <f t="shared" si="2"/>
        <v>4608617.9153248556</v>
      </c>
      <c r="F68" s="30">
        <f t="shared" si="3"/>
        <v>23500.204967351972</v>
      </c>
      <c r="G68" s="30">
        <f t="shared" si="4"/>
        <v>4632.1181202922071</v>
      </c>
      <c r="H68" s="31">
        <f t="shared" si="5"/>
        <v>1716071.7083462954</v>
      </c>
      <c r="I68" s="10"/>
    </row>
    <row r="69" spans="2:9" x14ac:dyDescent="0.25">
      <c r="B69" s="38"/>
      <c r="C69" s="23">
        <f t="shared" si="0"/>
        <v>62</v>
      </c>
      <c r="D69" s="24">
        <f t="shared" si="1"/>
        <v>43571</v>
      </c>
      <c r="E69" s="25">
        <f t="shared" si="2"/>
        <v>4585094.2101525366</v>
      </c>
      <c r="F69" s="26">
        <f t="shared" si="3"/>
        <v>23523.705172319325</v>
      </c>
      <c r="G69" s="26">
        <f t="shared" si="4"/>
        <v>4608.6179153248559</v>
      </c>
      <c r="H69" s="27">
        <f t="shared" si="5"/>
        <v>1744204.0314339397</v>
      </c>
      <c r="I69" s="10"/>
    </row>
    <row r="70" spans="2:9" x14ac:dyDescent="0.25">
      <c r="B70" s="38"/>
      <c r="C70" s="23">
        <f t="shared" si="0"/>
        <v>63</v>
      </c>
      <c r="D70" s="28">
        <f t="shared" si="1"/>
        <v>43601</v>
      </c>
      <c r="E70" s="29">
        <f t="shared" si="2"/>
        <v>4561546.9812750453</v>
      </c>
      <c r="F70" s="30">
        <f t="shared" si="3"/>
        <v>23547.228877491645</v>
      </c>
      <c r="G70" s="30">
        <f t="shared" si="4"/>
        <v>4585.094210152537</v>
      </c>
      <c r="H70" s="31">
        <f t="shared" si="5"/>
        <v>1772336.3545215838</v>
      </c>
      <c r="I70" s="10"/>
    </row>
    <row r="71" spans="2:9" x14ac:dyDescent="0.25">
      <c r="B71" s="38"/>
      <c r="C71" s="23">
        <f t="shared" si="0"/>
        <v>64</v>
      </c>
      <c r="D71" s="24">
        <f t="shared" si="1"/>
        <v>43632</v>
      </c>
      <c r="E71" s="25">
        <f t="shared" si="2"/>
        <v>4537976.2051686766</v>
      </c>
      <c r="F71" s="26">
        <f t="shared" si="3"/>
        <v>23570.77610636914</v>
      </c>
      <c r="G71" s="26">
        <f t="shared" si="4"/>
        <v>4561.5469812750453</v>
      </c>
      <c r="H71" s="27">
        <f t="shared" si="5"/>
        <v>1800468.6776092281</v>
      </c>
      <c r="I71" s="10"/>
    </row>
    <row r="72" spans="2:9" x14ac:dyDescent="0.25">
      <c r="B72" s="38"/>
      <c r="C72" s="23">
        <f t="shared" si="0"/>
        <v>65</v>
      </c>
      <c r="D72" s="28">
        <f t="shared" si="1"/>
        <v>43662</v>
      </c>
      <c r="E72" s="29">
        <f t="shared" si="2"/>
        <v>4514381.858286201</v>
      </c>
      <c r="F72" s="30">
        <f t="shared" si="3"/>
        <v>23594.346882475507</v>
      </c>
      <c r="G72" s="30">
        <f t="shared" si="4"/>
        <v>4537.9762051686757</v>
      </c>
      <c r="H72" s="31">
        <f t="shared" si="5"/>
        <v>1828601.0006968724</v>
      </c>
      <c r="I72" s="10"/>
    </row>
    <row r="73" spans="2:9" x14ac:dyDescent="0.25">
      <c r="B73" s="38"/>
      <c r="C73" s="23">
        <f t="shared" ref="C73:C136" si="6">IF(C72&lt;$F$6,C72+1,"")</f>
        <v>66</v>
      </c>
      <c r="D73" s="24">
        <f t="shared" si="1"/>
        <v>43693</v>
      </c>
      <c r="E73" s="25">
        <f t="shared" si="2"/>
        <v>4490763.9170568427</v>
      </c>
      <c r="F73" s="26">
        <f t="shared" si="3"/>
        <v>23617.941229357984</v>
      </c>
      <c r="G73" s="26">
        <f t="shared" si="4"/>
        <v>4514.3818582862004</v>
      </c>
      <c r="H73" s="27">
        <f t="shared" si="5"/>
        <v>1856733.3237845167</v>
      </c>
      <c r="I73" s="10"/>
    </row>
    <row r="74" spans="2:9" x14ac:dyDescent="0.25">
      <c r="B74" s="38"/>
      <c r="C74" s="23">
        <f t="shared" si="6"/>
        <v>67</v>
      </c>
      <c r="D74" s="28">
        <f t="shared" ref="D74:D137" si="7">IF(C74="","",DATE(YEAR(D73),MONTH(D73)+1,DAY(D73)))</f>
        <v>43724</v>
      </c>
      <c r="E74" s="29">
        <f t="shared" ref="E74:E137" si="8">IF(C74="","",E73-F74)</f>
        <v>4467122.3578862557</v>
      </c>
      <c r="F74" s="30">
        <f t="shared" ref="F74:F137" si="9">IF(C74="","",-PPMT($F$5/12,C74,$F$4*12,$D$5))</f>
        <v>23641.559170587341</v>
      </c>
      <c r="G74" s="30">
        <f t="shared" ref="G74:G137" si="10">IF(C74="","",-IPMT($F$5/12,C74,$F$4*12,$D$5))</f>
        <v>4490.7639170568418</v>
      </c>
      <c r="H74" s="31">
        <f t="shared" ref="H74:H137" si="11">IF(C74="","",H73+F74+G74)</f>
        <v>1884865.646872161</v>
      </c>
      <c r="I74" s="10"/>
    </row>
    <row r="75" spans="2:9" x14ac:dyDescent="0.25">
      <c r="B75" s="38"/>
      <c r="C75" s="23">
        <f t="shared" si="6"/>
        <v>68</v>
      </c>
      <c r="D75" s="24">
        <f t="shared" si="7"/>
        <v>43754</v>
      </c>
      <c r="E75" s="25">
        <f t="shared" si="8"/>
        <v>4443457.1571564982</v>
      </c>
      <c r="F75" s="26">
        <f t="shared" si="9"/>
        <v>23665.200729757929</v>
      </c>
      <c r="G75" s="26">
        <f t="shared" si="10"/>
        <v>4467.1223578862546</v>
      </c>
      <c r="H75" s="27">
        <f t="shared" si="11"/>
        <v>1912997.9699598053</v>
      </c>
      <c r="I75" s="10"/>
    </row>
    <row r="76" spans="2:9" x14ac:dyDescent="0.25">
      <c r="B76" s="38"/>
      <c r="C76" s="23">
        <f t="shared" si="6"/>
        <v>69</v>
      </c>
      <c r="D76" s="28">
        <f t="shared" si="7"/>
        <v>43785</v>
      </c>
      <c r="E76" s="29">
        <f t="shared" si="8"/>
        <v>4419768.2912260108</v>
      </c>
      <c r="F76" s="30">
        <f t="shared" si="9"/>
        <v>23688.865930487686</v>
      </c>
      <c r="G76" s="30">
        <f t="shared" si="10"/>
        <v>4443.4571571564966</v>
      </c>
      <c r="H76" s="31">
        <f t="shared" si="11"/>
        <v>1941130.2930474493</v>
      </c>
      <c r="I76" s="10"/>
    </row>
    <row r="77" spans="2:9" x14ac:dyDescent="0.25">
      <c r="B77" s="38"/>
      <c r="C77" s="23">
        <f t="shared" si="6"/>
        <v>70</v>
      </c>
      <c r="D77" s="24">
        <f t="shared" si="7"/>
        <v>43815</v>
      </c>
      <c r="E77" s="25">
        <f t="shared" si="8"/>
        <v>4396055.7364295926</v>
      </c>
      <c r="F77" s="26">
        <f t="shared" si="9"/>
        <v>23712.554796418171</v>
      </c>
      <c r="G77" s="26">
        <f t="shared" si="10"/>
        <v>4419.7682912260079</v>
      </c>
      <c r="H77" s="27">
        <f t="shared" si="11"/>
        <v>1969262.6161350936</v>
      </c>
      <c r="I77" s="10"/>
    </row>
    <row r="78" spans="2:9" x14ac:dyDescent="0.25">
      <c r="B78" s="38"/>
      <c r="C78" s="23">
        <f t="shared" si="6"/>
        <v>71</v>
      </c>
      <c r="D78" s="28">
        <f t="shared" si="7"/>
        <v>43846</v>
      </c>
      <c r="E78" s="29">
        <f t="shared" si="8"/>
        <v>4372319.4690783778</v>
      </c>
      <c r="F78" s="30">
        <f t="shared" si="9"/>
        <v>23736.267351214592</v>
      </c>
      <c r="G78" s="30">
        <f t="shared" si="10"/>
        <v>4396.0557364295901</v>
      </c>
      <c r="H78" s="31">
        <f t="shared" si="11"/>
        <v>1997394.9392227377</v>
      </c>
      <c r="I78" s="10"/>
    </row>
    <row r="79" spans="2:9" ht="16.5" thickBot="1" x14ac:dyDescent="0.3">
      <c r="B79" s="39"/>
      <c r="C79" s="32">
        <f t="shared" si="6"/>
        <v>72</v>
      </c>
      <c r="D79" s="33">
        <f t="shared" si="7"/>
        <v>43877</v>
      </c>
      <c r="E79" s="34">
        <f t="shared" si="8"/>
        <v>4348559.4654598124</v>
      </c>
      <c r="F79" s="35">
        <f t="shared" si="9"/>
        <v>23760.00361856581</v>
      </c>
      <c r="G79" s="35">
        <f t="shared" si="10"/>
        <v>4372.3194690783766</v>
      </c>
      <c r="H79" s="36">
        <f t="shared" si="11"/>
        <v>2025527.262310382</v>
      </c>
      <c r="I79" s="10"/>
    </row>
    <row r="80" spans="2:9" ht="16.5" thickTop="1" x14ac:dyDescent="0.25">
      <c r="B80" s="37" t="s">
        <v>9</v>
      </c>
      <c r="C80" s="19">
        <f t="shared" si="6"/>
        <v>73</v>
      </c>
      <c r="D80" s="28">
        <f t="shared" si="7"/>
        <v>43906</v>
      </c>
      <c r="E80" s="29">
        <f t="shared" si="8"/>
        <v>4324775.7018376281</v>
      </c>
      <c r="F80" s="30">
        <f t="shared" si="9"/>
        <v>23783.763622184371</v>
      </c>
      <c r="G80" s="30">
        <f t="shared" si="10"/>
        <v>4348.5594654598108</v>
      </c>
      <c r="H80" s="31">
        <f t="shared" si="11"/>
        <v>2053659.585398026</v>
      </c>
      <c r="I80" s="10"/>
    </row>
    <row r="81" spans="2:9" x14ac:dyDescent="0.25">
      <c r="B81" s="38"/>
      <c r="C81" s="23">
        <f t="shared" si="6"/>
        <v>74</v>
      </c>
      <c r="D81" s="24">
        <f t="shared" si="7"/>
        <v>43937</v>
      </c>
      <c r="E81" s="25">
        <f t="shared" si="8"/>
        <v>4300968.1544518219</v>
      </c>
      <c r="F81" s="26">
        <f t="shared" si="9"/>
        <v>23807.547385806556</v>
      </c>
      <c r="G81" s="26">
        <f t="shared" si="10"/>
        <v>4324.7757018376251</v>
      </c>
      <c r="H81" s="27">
        <f t="shared" si="11"/>
        <v>2081791.9084856701</v>
      </c>
      <c r="I81" s="10"/>
    </row>
    <row r="82" spans="2:9" x14ac:dyDescent="0.25">
      <c r="B82" s="38"/>
      <c r="C82" s="23">
        <f t="shared" si="6"/>
        <v>75</v>
      </c>
      <c r="D82" s="28">
        <f t="shared" si="7"/>
        <v>43967</v>
      </c>
      <c r="E82" s="29">
        <f t="shared" si="8"/>
        <v>4277136.7995186299</v>
      </c>
      <c r="F82" s="30">
        <f t="shared" si="9"/>
        <v>23831.35493319236</v>
      </c>
      <c r="G82" s="30">
        <f t="shared" si="10"/>
        <v>4300.9681544518189</v>
      </c>
      <c r="H82" s="31">
        <f t="shared" si="11"/>
        <v>2109924.2315733144</v>
      </c>
      <c r="I82" s="10"/>
    </row>
    <row r="83" spans="2:9" x14ac:dyDescent="0.25">
      <c r="B83" s="38"/>
      <c r="C83" s="23">
        <f t="shared" si="6"/>
        <v>76</v>
      </c>
      <c r="D83" s="24">
        <f t="shared" si="7"/>
        <v>43998</v>
      </c>
      <c r="E83" s="25">
        <f t="shared" si="8"/>
        <v>4253281.6132305041</v>
      </c>
      <c r="F83" s="26">
        <f t="shared" si="9"/>
        <v>23855.186288125555</v>
      </c>
      <c r="G83" s="26">
        <f t="shared" si="10"/>
        <v>4277.1367995186274</v>
      </c>
      <c r="H83" s="27">
        <f t="shared" si="11"/>
        <v>2138056.5546609582</v>
      </c>
      <c r="I83" s="10"/>
    </row>
    <row r="84" spans="2:9" x14ac:dyDescent="0.25">
      <c r="B84" s="38"/>
      <c r="C84" s="23">
        <f t="shared" si="6"/>
        <v>77</v>
      </c>
      <c r="D84" s="28">
        <f t="shared" si="7"/>
        <v>44028</v>
      </c>
      <c r="E84" s="29">
        <f t="shared" si="8"/>
        <v>4229402.57175609</v>
      </c>
      <c r="F84" s="30">
        <f t="shared" si="9"/>
        <v>23879.041474413683</v>
      </c>
      <c r="G84" s="30">
        <f t="shared" si="10"/>
        <v>4253.2816132305015</v>
      </c>
      <c r="H84" s="31">
        <f t="shared" si="11"/>
        <v>2166188.8777486025</v>
      </c>
      <c r="I84" s="10"/>
    </row>
    <row r="85" spans="2:9" x14ac:dyDescent="0.25">
      <c r="B85" s="38"/>
      <c r="C85" s="23">
        <f t="shared" si="6"/>
        <v>78</v>
      </c>
      <c r="D85" s="24">
        <f t="shared" si="7"/>
        <v>44059</v>
      </c>
      <c r="E85" s="25">
        <f t="shared" si="8"/>
        <v>4205499.6512402017</v>
      </c>
      <c r="F85" s="26">
        <f t="shared" si="9"/>
        <v>23902.920515888094</v>
      </c>
      <c r="G85" s="26">
        <f t="shared" si="10"/>
        <v>4229.4025717560871</v>
      </c>
      <c r="H85" s="27">
        <f t="shared" si="11"/>
        <v>2194321.2008362464</v>
      </c>
      <c r="I85" s="10"/>
    </row>
    <row r="86" spans="2:9" x14ac:dyDescent="0.25">
      <c r="B86" s="38"/>
      <c r="C86" s="23">
        <f t="shared" si="6"/>
        <v>79</v>
      </c>
      <c r="D86" s="28">
        <f t="shared" si="7"/>
        <v>44090</v>
      </c>
      <c r="E86" s="29">
        <f t="shared" si="8"/>
        <v>4181572.8278037976</v>
      </c>
      <c r="F86" s="30">
        <f t="shared" si="9"/>
        <v>23926.823436403982</v>
      </c>
      <c r="G86" s="30">
        <f t="shared" si="10"/>
        <v>4205.4996512401985</v>
      </c>
      <c r="H86" s="31">
        <f t="shared" si="11"/>
        <v>2222453.5239238907</v>
      </c>
      <c r="I86" s="10"/>
    </row>
    <row r="87" spans="2:9" x14ac:dyDescent="0.25">
      <c r="B87" s="38"/>
      <c r="C87" s="23">
        <f t="shared" si="6"/>
        <v>80</v>
      </c>
      <c r="D87" s="24">
        <f t="shared" si="7"/>
        <v>44120</v>
      </c>
      <c r="E87" s="25">
        <f t="shared" si="8"/>
        <v>4157622.0775439572</v>
      </c>
      <c r="F87" s="26">
        <f t="shared" si="9"/>
        <v>23950.750259840388</v>
      </c>
      <c r="G87" s="26">
        <f t="shared" si="10"/>
        <v>4181.5728278037959</v>
      </c>
      <c r="H87" s="27">
        <f t="shared" si="11"/>
        <v>2250585.847011535</v>
      </c>
      <c r="I87" s="10"/>
    </row>
    <row r="88" spans="2:9" x14ac:dyDescent="0.25">
      <c r="B88" s="38"/>
      <c r="C88" s="23">
        <f t="shared" si="6"/>
        <v>81</v>
      </c>
      <c r="D88" s="28">
        <f t="shared" si="7"/>
        <v>44151</v>
      </c>
      <c r="E88" s="29">
        <f t="shared" si="8"/>
        <v>4133647.3765338571</v>
      </c>
      <c r="F88" s="30">
        <f t="shared" si="9"/>
        <v>23974.701010100227</v>
      </c>
      <c r="G88" s="30">
        <f t="shared" si="10"/>
        <v>4157.6220775439551</v>
      </c>
      <c r="H88" s="31">
        <f t="shared" si="11"/>
        <v>2278718.1700991788</v>
      </c>
      <c r="I88" s="10"/>
    </row>
    <row r="89" spans="2:9" x14ac:dyDescent="0.25">
      <c r="B89" s="38"/>
      <c r="C89" s="23">
        <f t="shared" si="6"/>
        <v>82</v>
      </c>
      <c r="D89" s="24">
        <f t="shared" si="7"/>
        <v>44181</v>
      </c>
      <c r="E89" s="25">
        <f t="shared" si="8"/>
        <v>4109648.7008227468</v>
      </c>
      <c r="F89" s="26">
        <f t="shared" si="9"/>
        <v>23998.675711110329</v>
      </c>
      <c r="G89" s="26">
        <f t="shared" si="10"/>
        <v>4133.6473765338551</v>
      </c>
      <c r="H89" s="27">
        <f t="shared" si="11"/>
        <v>2306850.4931868231</v>
      </c>
      <c r="I89" s="10"/>
    </row>
    <row r="90" spans="2:9" x14ac:dyDescent="0.25">
      <c r="B90" s="38"/>
      <c r="C90" s="23">
        <f t="shared" si="6"/>
        <v>83</v>
      </c>
      <c r="D90" s="28">
        <f t="shared" si="7"/>
        <v>44212</v>
      </c>
      <c r="E90" s="29">
        <f t="shared" si="8"/>
        <v>4085626.0264359256</v>
      </c>
      <c r="F90" s="30">
        <f t="shared" si="9"/>
        <v>24022.67438682144</v>
      </c>
      <c r="G90" s="30">
        <f t="shared" si="10"/>
        <v>4109.648700822745</v>
      </c>
      <c r="H90" s="31">
        <f t="shared" si="11"/>
        <v>2334982.8162744669</v>
      </c>
      <c r="I90" s="10"/>
    </row>
    <row r="91" spans="2:9" ht="16.5" thickBot="1" x14ac:dyDescent="0.3">
      <c r="B91" s="39"/>
      <c r="C91" s="32">
        <f t="shared" si="6"/>
        <v>84</v>
      </c>
      <c r="D91" s="33">
        <f t="shared" si="7"/>
        <v>44243</v>
      </c>
      <c r="E91" s="34">
        <f t="shared" si="8"/>
        <v>4061579.3293747175</v>
      </c>
      <c r="F91" s="35">
        <f t="shared" si="9"/>
        <v>24046.697061208255</v>
      </c>
      <c r="G91" s="35">
        <f t="shared" si="10"/>
        <v>4085.6260264359234</v>
      </c>
      <c r="H91" s="36">
        <f t="shared" si="11"/>
        <v>2363115.1393621108</v>
      </c>
      <c r="I91" s="10"/>
    </row>
    <row r="92" spans="2:9" ht="16.5" thickTop="1" x14ac:dyDescent="0.25">
      <c r="B92" s="37" t="s">
        <v>10</v>
      </c>
      <c r="C92" s="19">
        <f t="shared" si="6"/>
        <v>85</v>
      </c>
      <c r="D92" s="28">
        <f t="shared" si="7"/>
        <v>44271</v>
      </c>
      <c r="E92" s="29">
        <f t="shared" si="8"/>
        <v>4037508.585616448</v>
      </c>
      <c r="F92" s="30">
        <f t="shared" si="9"/>
        <v>24070.743758269466</v>
      </c>
      <c r="G92" s="30">
        <f t="shared" si="10"/>
        <v>4061.5793293747147</v>
      </c>
      <c r="H92" s="31">
        <f t="shared" si="11"/>
        <v>2391247.4624497551</v>
      </c>
      <c r="I92" s="10"/>
    </row>
    <row r="93" spans="2:9" x14ac:dyDescent="0.25">
      <c r="B93" s="38"/>
      <c r="C93" s="23">
        <f t="shared" si="6"/>
        <v>86</v>
      </c>
      <c r="D93" s="24">
        <f t="shared" si="7"/>
        <v>44302</v>
      </c>
      <c r="E93" s="25">
        <f t="shared" si="8"/>
        <v>4013413.7711144201</v>
      </c>
      <c r="F93" s="26">
        <f t="shared" si="9"/>
        <v>24094.814502027741</v>
      </c>
      <c r="G93" s="26">
        <f t="shared" si="10"/>
        <v>4037.5085856164451</v>
      </c>
      <c r="H93" s="27">
        <f t="shared" si="11"/>
        <v>2419379.7855373994</v>
      </c>
      <c r="I93" s="10"/>
    </row>
    <row r="94" spans="2:9" x14ac:dyDescent="0.25">
      <c r="B94" s="38"/>
      <c r="C94" s="23">
        <f t="shared" si="6"/>
        <v>87</v>
      </c>
      <c r="D94" s="28">
        <f t="shared" si="7"/>
        <v>44332</v>
      </c>
      <c r="E94" s="29">
        <f t="shared" si="8"/>
        <v>3989294.8617978902</v>
      </c>
      <c r="F94" s="30">
        <f t="shared" si="9"/>
        <v>24118.909316529767</v>
      </c>
      <c r="G94" s="30">
        <f t="shared" si="10"/>
        <v>4013.4137711144181</v>
      </c>
      <c r="H94" s="31">
        <f t="shared" si="11"/>
        <v>2447512.1086250436</v>
      </c>
      <c r="I94" s="10"/>
    </row>
    <row r="95" spans="2:9" x14ac:dyDescent="0.25">
      <c r="B95" s="38"/>
      <c r="C95" s="23">
        <f t="shared" si="6"/>
        <v>88</v>
      </c>
      <c r="D95" s="24">
        <f t="shared" si="7"/>
        <v>44363</v>
      </c>
      <c r="E95" s="25">
        <f t="shared" si="8"/>
        <v>3965151.833572044</v>
      </c>
      <c r="F95" s="26">
        <f t="shared" si="9"/>
        <v>24143.028225846294</v>
      </c>
      <c r="G95" s="26">
        <f t="shared" si="10"/>
        <v>3989.2948617978882</v>
      </c>
      <c r="H95" s="27">
        <f t="shared" si="11"/>
        <v>2475644.4317126875</v>
      </c>
      <c r="I95" s="10"/>
    </row>
    <row r="96" spans="2:9" x14ac:dyDescent="0.25">
      <c r="B96" s="38"/>
      <c r="C96" s="23">
        <f t="shared" si="6"/>
        <v>89</v>
      </c>
      <c r="D96" s="28">
        <f t="shared" si="7"/>
        <v>44393</v>
      </c>
      <c r="E96" s="29">
        <f t="shared" si="8"/>
        <v>3940984.6623179717</v>
      </c>
      <c r="F96" s="30">
        <f t="shared" si="9"/>
        <v>24167.171254072142</v>
      </c>
      <c r="G96" s="30">
        <f t="shared" si="10"/>
        <v>3965.1518335720416</v>
      </c>
      <c r="H96" s="31">
        <f t="shared" si="11"/>
        <v>2503776.7548003318</v>
      </c>
      <c r="I96" s="10"/>
    </row>
    <row r="97" spans="2:9" x14ac:dyDescent="0.25">
      <c r="B97" s="38"/>
      <c r="C97" s="23">
        <f t="shared" si="6"/>
        <v>90</v>
      </c>
      <c r="D97" s="24">
        <f t="shared" si="7"/>
        <v>44424</v>
      </c>
      <c r="E97" s="25">
        <f t="shared" si="8"/>
        <v>3916793.3238926455</v>
      </c>
      <c r="F97" s="26">
        <f t="shared" si="9"/>
        <v>24191.338425326212</v>
      </c>
      <c r="G97" s="26">
        <f t="shared" si="10"/>
        <v>3940.9846623179692</v>
      </c>
      <c r="H97" s="27">
        <f t="shared" si="11"/>
        <v>2531909.0778879761</v>
      </c>
      <c r="I97" s="10"/>
    </row>
    <row r="98" spans="2:9" x14ac:dyDescent="0.25">
      <c r="B98" s="38"/>
      <c r="C98" s="23">
        <f t="shared" si="6"/>
        <v>91</v>
      </c>
      <c r="D98" s="28">
        <f t="shared" si="7"/>
        <v>44455</v>
      </c>
      <c r="E98" s="29">
        <f t="shared" si="8"/>
        <v>3892577.7941288939</v>
      </c>
      <c r="F98" s="30">
        <f t="shared" si="9"/>
        <v>24215.529763751536</v>
      </c>
      <c r="G98" s="30">
        <f t="shared" si="10"/>
        <v>3916.7933238926435</v>
      </c>
      <c r="H98" s="31">
        <f t="shared" si="11"/>
        <v>2560041.4009756204</v>
      </c>
      <c r="I98" s="10"/>
    </row>
    <row r="99" spans="2:9" x14ac:dyDescent="0.25">
      <c r="B99" s="38"/>
      <c r="C99" s="23">
        <f t="shared" si="6"/>
        <v>92</v>
      </c>
      <c r="D99" s="24">
        <f t="shared" si="7"/>
        <v>44485</v>
      </c>
      <c r="E99" s="25">
        <f t="shared" si="8"/>
        <v>3868338.0488353786</v>
      </c>
      <c r="F99" s="26">
        <f t="shared" si="9"/>
        <v>24239.745293515291</v>
      </c>
      <c r="G99" s="26">
        <f t="shared" si="10"/>
        <v>3892.577794128892</v>
      </c>
      <c r="H99" s="27">
        <f t="shared" si="11"/>
        <v>2588173.7240632647</v>
      </c>
      <c r="I99" s="10"/>
    </row>
    <row r="100" spans="2:9" x14ac:dyDescent="0.25">
      <c r="B100" s="38"/>
      <c r="C100" s="23">
        <f t="shared" si="6"/>
        <v>93</v>
      </c>
      <c r="D100" s="28">
        <f t="shared" si="7"/>
        <v>44516</v>
      </c>
      <c r="E100" s="29">
        <f t="shared" si="8"/>
        <v>3844074.0637965696</v>
      </c>
      <c r="F100" s="30">
        <f t="shared" si="9"/>
        <v>24263.985038808805</v>
      </c>
      <c r="G100" s="30">
        <f t="shared" si="10"/>
        <v>3868.3380488353769</v>
      </c>
      <c r="H100" s="31">
        <f t="shared" si="11"/>
        <v>2616306.047150909</v>
      </c>
      <c r="I100" s="10"/>
    </row>
    <row r="101" spans="2:9" x14ac:dyDescent="0.25">
      <c r="B101" s="38"/>
      <c r="C101" s="23">
        <f t="shared" si="6"/>
        <v>94</v>
      </c>
      <c r="D101" s="24">
        <f t="shared" si="7"/>
        <v>44546</v>
      </c>
      <c r="E101" s="25">
        <f t="shared" si="8"/>
        <v>3819785.8147727218</v>
      </c>
      <c r="F101" s="26">
        <f t="shared" si="9"/>
        <v>24288.249023847617</v>
      </c>
      <c r="G101" s="26">
        <f t="shared" si="10"/>
        <v>3844.0740637965678</v>
      </c>
      <c r="H101" s="27">
        <f t="shared" si="11"/>
        <v>2644438.3702385533</v>
      </c>
      <c r="I101" s="10"/>
    </row>
    <row r="102" spans="2:9" x14ac:dyDescent="0.25">
      <c r="B102" s="38"/>
      <c r="C102" s="23">
        <f t="shared" si="6"/>
        <v>95</v>
      </c>
      <c r="D102" s="28">
        <f t="shared" si="7"/>
        <v>44577</v>
      </c>
      <c r="E102" s="29">
        <f t="shared" si="8"/>
        <v>3795473.2774998504</v>
      </c>
      <c r="F102" s="30">
        <f t="shared" si="9"/>
        <v>24312.537272871465</v>
      </c>
      <c r="G102" s="30">
        <f t="shared" si="10"/>
        <v>3819.7858147727202</v>
      </c>
      <c r="H102" s="31">
        <f t="shared" si="11"/>
        <v>2672570.6933261976</v>
      </c>
      <c r="I102" s="10"/>
    </row>
    <row r="103" spans="2:9" ht="16.5" thickBot="1" x14ac:dyDescent="0.3">
      <c r="B103" s="39"/>
      <c r="C103" s="32">
        <f t="shared" si="6"/>
        <v>96</v>
      </c>
      <c r="D103" s="33">
        <f t="shared" si="7"/>
        <v>44608</v>
      </c>
      <c r="E103" s="34">
        <f t="shared" si="8"/>
        <v>3771136.427689706</v>
      </c>
      <c r="F103" s="35">
        <f t="shared" si="9"/>
        <v>24336.849810144337</v>
      </c>
      <c r="G103" s="35">
        <f t="shared" si="10"/>
        <v>3795.4732774998492</v>
      </c>
      <c r="H103" s="36">
        <f t="shared" si="11"/>
        <v>2700703.0164138419</v>
      </c>
      <c r="I103" s="10"/>
    </row>
    <row r="104" spans="2:9" ht="16.5" thickTop="1" x14ac:dyDescent="0.25">
      <c r="B104" s="37" t="s">
        <v>11</v>
      </c>
      <c r="C104" s="19">
        <f t="shared" si="6"/>
        <v>97</v>
      </c>
      <c r="D104" s="28">
        <f t="shared" si="7"/>
        <v>44636</v>
      </c>
      <c r="E104" s="29">
        <f t="shared" si="8"/>
        <v>3746775.2410297515</v>
      </c>
      <c r="F104" s="30">
        <f t="shared" si="9"/>
        <v>24361.186659954477</v>
      </c>
      <c r="G104" s="30">
        <f t="shared" si="10"/>
        <v>3771.1364276897043</v>
      </c>
      <c r="H104" s="31">
        <f t="shared" si="11"/>
        <v>2728835.3395014862</v>
      </c>
      <c r="I104" s="10"/>
    </row>
    <row r="105" spans="2:9" x14ac:dyDescent="0.25">
      <c r="B105" s="38"/>
      <c r="C105" s="23">
        <f t="shared" si="6"/>
        <v>98</v>
      </c>
      <c r="D105" s="24">
        <f t="shared" si="7"/>
        <v>44667</v>
      </c>
      <c r="E105" s="25">
        <f t="shared" si="8"/>
        <v>3722389.6931831371</v>
      </c>
      <c r="F105" s="26">
        <f t="shared" si="9"/>
        <v>24385.547846614434</v>
      </c>
      <c r="G105" s="26">
        <f t="shared" si="10"/>
        <v>3746.7752410297498</v>
      </c>
      <c r="H105" s="27">
        <f t="shared" si="11"/>
        <v>2756967.6625891305</v>
      </c>
      <c r="I105" s="10"/>
    </row>
    <row r="106" spans="2:9" x14ac:dyDescent="0.25">
      <c r="B106" s="38"/>
      <c r="C106" s="23">
        <f t="shared" si="6"/>
        <v>99</v>
      </c>
      <c r="D106" s="28">
        <f t="shared" si="7"/>
        <v>44697</v>
      </c>
      <c r="E106" s="29">
        <f t="shared" si="8"/>
        <v>3697979.7597886762</v>
      </c>
      <c r="F106" s="30">
        <f t="shared" si="9"/>
        <v>24409.933394461048</v>
      </c>
      <c r="G106" s="30">
        <f t="shared" si="10"/>
        <v>3722.389693183135</v>
      </c>
      <c r="H106" s="31">
        <f t="shared" si="11"/>
        <v>2785099.9856767748</v>
      </c>
      <c r="I106" s="10"/>
    </row>
    <row r="107" spans="2:9" x14ac:dyDescent="0.25">
      <c r="B107" s="38"/>
      <c r="C107" s="23">
        <f t="shared" si="6"/>
        <v>100</v>
      </c>
      <c r="D107" s="24">
        <f t="shared" si="7"/>
        <v>44728</v>
      </c>
      <c r="E107" s="25">
        <f t="shared" si="8"/>
        <v>3673545.4164608205</v>
      </c>
      <c r="F107" s="26">
        <f t="shared" si="9"/>
        <v>24434.343327855509</v>
      </c>
      <c r="G107" s="26">
        <f t="shared" si="10"/>
        <v>3697.979759788675</v>
      </c>
      <c r="H107" s="27">
        <f t="shared" si="11"/>
        <v>2813232.3087644191</v>
      </c>
      <c r="I107" s="10"/>
    </row>
    <row r="108" spans="2:9" x14ac:dyDescent="0.25">
      <c r="B108" s="38"/>
      <c r="C108" s="23">
        <f t="shared" si="6"/>
        <v>101</v>
      </c>
      <c r="D108" s="28">
        <f t="shared" si="7"/>
        <v>44758</v>
      </c>
      <c r="E108" s="29">
        <f t="shared" si="8"/>
        <v>3649086.638789637</v>
      </c>
      <c r="F108" s="30">
        <f t="shared" si="9"/>
        <v>24458.777671183365</v>
      </c>
      <c r="G108" s="30">
        <f t="shared" si="10"/>
        <v>3673.5454164608186</v>
      </c>
      <c r="H108" s="31">
        <f t="shared" si="11"/>
        <v>2841364.6318520634</v>
      </c>
      <c r="I108" s="10"/>
    </row>
    <row r="109" spans="2:9" x14ac:dyDescent="0.25">
      <c r="B109" s="38"/>
      <c r="C109" s="23">
        <f t="shared" si="6"/>
        <v>102</v>
      </c>
      <c r="D109" s="24">
        <f t="shared" si="7"/>
        <v>44789</v>
      </c>
      <c r="E109" s="25">
        <f t="shared" si="8"/>
        <v>3624603.4023407823</v>
      </c>
      <c r="F109" s="26">
        <f t="shared" si="9"/>
        <v>24483.236448854546</v>
      </c>
      <c r="G109" s="26">
        <f t="shared" si="10"/>
        <v>3649.0866387896353</v>
      </c>
      <c r="H109" s="27">
        <f t="shared" si="11"/>
        <v>2869496.9549397076</v>
      </c>
      <c r="I109" s="10"/>
    </row>
    <row r="110" spans="2:9" x14ac:dyDescent="0.25">
      <c r="B110" s="38"/>
      <c r="C110" s="23">
        <f t="shared" si="6"/>
        <v>103</v>
      </c>
      <c r="D110" s="28">
        <f t="shared" si="7"/>
        <v>44820</v>
      </c>
      <c r="E110" s="29">
        <f t="shared" si="8"/>
        <v>3600095.6826554788</v>
      </c>
      <c r="F110" s="30">
        <f t="shared" si="9"/>
        <v>24507.7196853034</v>
      </c>
      <c r="G110" s="30">
        <f t="shared" si="10"/>
        <v>3624.6034023407806</v>
      </c>
      <c r="H110" s="31">
        <f t="shared" si="11"/>
        <v>2897629.2780273519</v>
      </c>
      <c r="I110" s="10"/>
    </row>
    <row r="111" spans="2:9" x14ac:dyDescent="0.25">
      <c r="B111" s="38"/>
      <c r="C111" s="23">
        <f t="shared" si="6"/>
        <v>104</v>
      </c>
      <c r="D111" s="24">
        <f t="shared" si="7"/>
        <v>44850</v>
      </c>
      <c r="E111" s="25">
        <f t="shared" si="8"/>
        <v>3575563.45525049</v>
      </c>
      <c r="F111" s="26">
        <f t="shared" si="9"/>
        <v>24532.227404988706</v>
      </c>
      <c r="G111" s="26">
        <f t="shared" si="10"/>
        <v>3600.095682655478</v>
      </c>
      <c r="H111" s="27">
        <f t="shared" si="11"/>
        <v>2925761.6011149962</v>
      </c>
      <c r="I111" s="10"/>
    </row>
    <row r="112" spans="2:9" x14ac:dyDescent="0.25">
      <c r="B112" s="38"/>
      <c r="C112" s="23">
        <f t="shared" si="6"/>
        <v>105</v>
      </c>
      <c r="D112" s="28">
        <f t="shared" si="7"/>
        <v>44881</v>
      </c>
      <c r="E112" s="29">
        <f t="shared" si="8"/>
        <v>3551006.6956180963</v>
      </c>
      <c r="F112" s="30">
        <f t="shared" si="9"/>
        <v>24556.759632393692</v>
      </c>
      <c r="G112" s="30">
        <f t="shared" si="10"/>
        <v>3575.5634552504889</v>
      </c>
      <c r="H112" s="31">
        <f t="shared" si="11"/>
        <v>2953893.9242026405</v>
      </c>
      <c r="I112" s="10"/>
    </row>
    <row r="113" spans="2:9" x14ac:dyDescent="0.25">
      <c r="B113" s="38"/>
      <c r="C113" s="23">
        <f t="shared" si="6"/>
        <v>106</v>
      </c>
      <c r="D113" s="24">
        <f t="shared" si="7"/>
        <v>44911</v>
      </c>
      <c r="E113" s="25">
        <f t="shared" si="8"/>
        <v>3526425.3792260704</v>
      </c>
      <c r="F113" s="26">
        <f t="shared" si="9"/>
        <v>24581.316392026089</v>
      </c>
      <c r="G113" s="26">
        <f t="shared" si="10"/>
        <v>3551.0066956180945</v>
      </c>
      <c r="H113" s="27">
        <f t="shared" si="11"/>
        <v>2982026.2472902844</v>
      </c>
      <c r="I113" s="10"/>
    </row>
    <row r="114" spans="2:9" x14ac:dyDescent="0.25">
      <c r="B114" s="38"/>
      <c r="C114" s="23">
        <f t="shared" si="6"/>
        <v>107</v>
      </c>
      <c r="D114" s="28">
        <f t="shared" si="7"/>
        <v>44942</v>
      </c>
      <c r="E114" s="29">
        <f t="shared" si="8"/>
        <v>3501819.481517652</v>
      </c>
      <c r="F114" s="30">
        <f t="shared" si="9"/>
        <v>24605.897708418113</v>
      </c>
      <c r="G114" s="30">
        <f t="shared" si="10"/>
        <v>3526.4253792260688</v>
      </c>
      <c r="H114" s="31">
        <f t="shared" si="11"/>
        <v>3010158.5703779287</v>
      </c>
      <c r="I114" s="10"/>
    </row>
    <row r="115" spans="2:9" ht="16.5" thickBot="1" x14ac:dyDescent="0.3">
      <c r="B115" s="39"/>
      <c r="C115" s="32">
        <f t="shared" si="6"/>
        <v>108</v>
      </c>
      <c r="D115" s="33">
        <f t="shared" si="7"/>
        <v>44973</v>
      </c>
      <c r="E115" s="34">
        <f t="shared" si="8"/>
        <v>3477188.9779115254</v>
      </c>
      <c r="F115" s="35">
        <f t="shared" si="9"/>
        <v>24630.503606126531</v>
      </c>
      <c r="G115" s="35">
        <f t="shared" si="10"/>
        <v>3501.8194815176512</v>
      </c>
      <c r="H115" s="36">
        <f t="shared" si="11"/>
        <v>3038290.893465573</v>
      </c>
      <c r="I115" s="10"/>
    </row>
    <row r="116" spans="2:9" ht="16.5" thickTop="1" x14ac:dyDescent="0.25">
      <c r="B116" s="41" t="s">
        <v>12</v>
      </c>
      <c r="C116" s="19">
        <f t="shared" si="6"/>
        <v>109</v>
      </c>
      <c r="D116" s="28">
        <f t="shared" si="7"/>
        <v>45001</v>
      </c>
      <c r="E116" s="29">
        <f t="shared" si="8"/>
        <v>3452533.8438017927</v>
      </c>
      <c r="F116" s="30">
        <f t="shared" si="9"/>
        <v>24655.134109732659</v>
      </c>
      <c r="G116" s="30">
        <f t="shared" si="10"/>
        <v>3477.188977911524</v>
      </c>
      <c r="H116" s="31">
        <f t="shared" si="11"/>
        <v>3066423.2165532173</v>
      </c>
      <c r="I116" s="10"/>
    </row>
    <row r="117" spans="2:9" x14ac:dyDescent="0.25">
      <c r="B117" s="38"/>
      <c r="C117" s="23">
        <f t="shared" si="6"/>
        <v>110</v>
      </c>
      <c r="D117" s="24">
        <f t="shared" si="7"/>
        <v>45032</v>
      </c>
      <c r="E117" s="25">
        <f t="shared" si="8"/>
        <v>3427854.0545579502</v>
      </c>
      <c r="F117" s="26">
        <f t="shared" si="9"/>
        <v>24679.789243842391</v>
      </c>
      <c r="G117" s="26">
        <f t="shared" si="10"/>
        <v>3452.5338438017911</v>
      </c>
      <c r="H117" s="27">
        <f t="shared" si="11"/>
        <v>3094555.5396408616</v>
      </c>
      <c r="I117" s="10"/>
    </row>
    <row r="118" spans="2:9" x14ac:dyDescent="0.25">
      <c r="B118" s="38"/>
      <c r="C118" s="23">
        <f t="shared" si="6"/>
        <v>111</v>
      </c>
      <c r="D118" s="28">
        <f t="shared" si="7"/>
        <v>45062</v>
      </c>
      <c r="E118" s="29">
        <f t="shared" si="8"/>
        <v>3403149.585524864</v>
      </c>
      <c r="F118" s="30">
        <f t="shared" si="9"/>
        <v>24704.469033086232</v>
      </c>
      <c r="G118" s="30">
        <f t="shared" si="10"/>
        <v>3427.8540545579494</v>
      </c>
      <c r="H118" s="31">
        <f t="shared" si="11"/>
        <v>3122687.8627285059</v>
      </c>
      <c r="I118" s="10"/>
    </row>
    <row r="119" spans="2:9" x14ac:dyDescent="0.25">
      <c r="B119" s="38"/>
      <c r="C119" s="23">
        <f t="shared" si="6"/>
        <v>112</v>
      </c>
      <c r="D119" s="24">
        <f t="shared" si="7"/>
        <v>45093</v>
      </c>
      <c r="E119" s="25">
        <f t="shared" si="8"/>
        <v>3378420.4120227448</v>
      </c>
      <c r="F119" s="26">
        <f t="shared" si="9"/>
        <v>24729.17350211932</v>
      </c>
      <c r="G119" s="26">
        <f t="shared" si="10"/>
        <v>3403.1495855248631</v>
      </c>
      <c r="H119" s="27">
        <f t="shared" si="11"/>
        <v>3150820.1858161502</v>
      </c>
      <c r="I119" s="10"/>
    </row>
    <row r="120" spans="2:9" x14ac:dyDescent="0.25">
      <c r="B120" s="38"/>
      <c r="C120" s="23">
        <f t="shared" si="6"/>
        <v>113</v>
      </c>
      <c r="D120" s="28">
        <f t="shared" si="7"/>
        <v>45123</v>
      </c>
      <c r="E120" s="29">
        <f t="shared" si="8"/>
        <v>3353666.5093471236</v>
      </c>
      <c r="F120" s="30">
        <f t="shared" si="9"/>
        <v>24753.902675621441</v>
      </c>
      <c r="G120" s="30">
        <f t="shared" si="10"/>
        <v>3378.4204120227441</v>
      </c>
      <c r="H120" s="31">
        <f t="shared" si="11"/>
        <v>3178952.508903794</v>
      </c>
      <c r="I120" s="10"/>
    </row>
    <row r="121" spans="2:9" x14ac:dyDescent="0.25">
      <c r="B121" s="38"/>
      <c r="C121" s="23">
        <f t="shared" si="6"/>
        <v>114</v>
      </c>
      <c r="D121" s="24">
        <f t="shared" si="7"/>
        <v>45154</v>
      </c>
      <c r="E121" s="25">
        <f t="shared" si="8"/>
        <v>3328887.8527688263</v>
      </c>
      <c r="F121" s="26">
        <f t="shared" si="9"/>
        <v>24778.656578297061</v>
      </c>
      <c r="G121" s="26">
        <f t="shared" si="10"/>
        <v>3353.6665093471224</v>
      </c>
      <c r="H121" s="27">
        <f t="shared" si="11"/>
        <v>3207084.8319914383</v>
      </c>
      <c r="I121" s="10"/>
    </row>
    <row r="122" spans="2:9" x14ac:dyDescent="0.25">
      <c r="B122" s="38"/>
      <c r="C122" s="23">
        <f t="shared" si="6"/>
        <v>115</v>
      </c>
      <c r="D122" s="28">
        <f t="shared" si="7"/>
        <v>45185</v>
      </c>
      <c r="E122" s="29">
        <f t="shared" si="8"/>
        <v>3304084.4175339509</v>
      </c>
      <c r="F122" s="30">
        <f t="shared" si="9"/>
        <v>24803.435234875356</v>
      </c>
      <c r="G122" s="30">
        <f t="shared" si="10"/>
        <v>3328.8878527688244</v>
      </c>
      <c r="H122" s="31">
        <f t="shared" si="11"/>
        <v>3235217.1550790826</v>
      </c>
      <c r="I122" s="10"/>
    </row>
    <row r="123" spans="2:9" x14ac:dyDescent="0.25">
      <c r="B123" s="38"/>
      <c r="C123" s="23">
        <f t="shared" si="6"/>
        <v>116</v>
      </c>
      <c r="D123" s="24">
        <f t="shared" si="7"/>
        <v>45215</v>
      </c>
      <c r="E123" s="25">
        <f t="shared" si="8"/>
        <v>3279256.1788638406</v>
      </c>
      <c r="F123" s="26">
        <f t="shared" si="9"/>
        <v>24828.238670110233</v>
      </c>
      <c r="G123" s="26">
        <f t="shared" si="10"/>
        <v>3304.0844175339498</v>
      </c>
      <c r="H123" s="27">
        <f t="shared" si="11"/>
        <v>3263349.4781667269</v>
      </c>
      <c r="I123" s="10"/>
    </row>
    <row r="124" spans="2:9" x14ac:dyDescent="0.25">
      <c r="B124" s="38"/>
      <c r="C124" s="23">
        <f t="shared" si="6"/>
        <v>117</v>
      </c>
      <c r="D124" s="28">
        <f t="shared" si="7"/>
        <v>45246</v>
      </c>
      <c r="E124" s="29">
        <f t="shared" si="8"/>
        <v>3254403.1119550602</v>
      </c>
      <c r="F124" s="30">
        <f t="shared" si="9"/>
        <v>24853.066908780344</v>
      </c>
      <c r="G124" s="30">
        <f t="shared" si="10"/>
        <v>3279.2561788638395</v>
      </c>
      <c r="H124" s="31">
        <f t="shared" si="11"/>
        <v>3291481.8012543712</v>
      </c>
      <c r="I124" s="10"/>
    </row>
    <row r="125" spans="2:9" x14ac:dyDescent="0.25">
      <c r="B125" s="38"/>
      <c r="C125" s="23">
        <f t="shared" si="6"/>
        <v>118</v>
      </c>
      <c r="D125" s="24">
        <f t="shared" si="7"/>
        <v>45276</v>
      </c>
      <c r="E125" s="25">
        <f t="shared" si="8"/>
        <v>3229525.191979371</v>
      </c>
      <c r="F125" s="26">
        <f t="shared" si="9"/>
        <v>24877.919975689125</v>
      </c>
      <c r="G125" s="26">
        <f t="shared" si="10"/>
        <v>3254.4031119550591</v>
      </c>
      <c r="H125" s="27">
        <f t="shared" si="11"/>
        <v>3319614.1243420155</v>
      </c>
      <c r="I125" s="10"/>
    </row>
    <row r="126" spans="2:9" x14ac:dyDescent="0.25">
      <c r="B126" s="38"/>
      <c r="C126" s="23">
        <f t="shared" si="6"/>
        <v>119</v>
      </c>
      <c r="D126" s="28">
        <f t="shared" si="7"/>
        <v>45307</v>
      </c>
      <c r="E126" s="29">
        <f t="shared" si="8"/>
        <v>3204622.3940837062</v>
      </c>
      <c r="F126" s="30">
        <f t="shared" si="9"/>
        <v>24902.797895664815</v>
      </c>
      <c r="G126" s="30">
        <f t="shared" si="10"/>
        <v>3229.5251919793695</v>
      </c>
      <c r="H126" s="31">
        <f t="shared" si="11"/>
        <v>3347746.4474296598</v>
      </c>
      <c r="I126" s="10"/>
    </row>
    <row r="127" spans="2:9" ht="16.5" thickBot="1" x14ac:dyDescent="0.3">
      <c r="B127" s="43"/>
      <c r="C127" s="32">
        <f t="shared" si="6"/>
        <v>120</v>
      </c>
      <c r="D127" s="33">
        <f t="shared" si="7"/>
        <v>45338</v>
      </c>
      <c r="E127" s="34">
        <f t="shared" si="8"/>
        <v>3179694.6933901459</v>
      </c>
      <c r="F127" s="35">
        <f t="shared" si="9"/>
        <v>24927.700693560477</v>
      </c>
      <c r="G127" s="35">
        <f t="shared" si="10"/>
        <v>3204.6223940837053</v>
      </c>
      <c r="H127" s="36">
        <f t="shared" si="11"/>
        <v>3375878.7705173036</v>
      </c>
      <c r="I127" s="10"/>
    </row>
    <row r="128" spans="2:9" x14ac:dyDescent="0.25">
      <c r="B128" s="37" t="s">
        <v>3</v>
      </c>
      <c r="C128" s="19">
        <f t="shared" si="6"/>
        <v>121</v>
      </c>
      <c r="D128" s="28">
        <f t="shared" si="7"/>
        <v>45367</v>
      </c>
      <c r="E128" s="29">
        <f t="shared" si="8"/>
        <v>3154742.0649958919</v>
      </c>
      <c r="F128" s="30">
        <f t="shared" si="9"/>
        <v>24952.628394254036</v>
      </c>
      <c r="G128" s="30">
        <f t="shared" si="10"/>
        <v>3179.6946933901449</v>
      </c>
      <c r="H128" s="31">
        <f t="shared" si="11"/>
        <v>3404011.0936049479</v>
      </c>
      <c r="I128" s="10"/>
    </row>
    <row r="129" spans="2:9" x14ac:dyDescent="0.25">
      <c r="B129" s="38"/>
      <c r="C129" s="23">
        <f t="shared" si="6"/>
        <v>122</v>
      </c>
      <c r="D129" s="24">
        <f t="shared" si="7"/>
        <v>45398</v>
      </c>
      <c r="E129" s="25">
        <f t="shared" si="8"/>
        <v>3129764.4839732437</v>
      </c>
      <c r="F129" s="26">
        <f t="shared" si="9"/>
        <v>24977.58102264829</v>
      </c>
      <c r="G129" s="26">
        <f t="shared" si="10"/>
        <v>3154.7420649958904</v>
      </c>
      <c r="H129" s="27">
        <f t="shared" si="11"/>
        <v>3432143.4166925917</v>
      </c>
      <c r="I129" s="10"/>
    </row>
    <row r="130" spans="2:9" x14ac:dyDescent="0.25">
      <c r="B130" s="38"/>
      <c r="C130" s="23">
        <f t="shared" si="6"/>
        <v>123</v>
      </c>
      <c r="D130" s="28">
        <f t="shared" si="7"/>
        <v>45428</v>
      </c>
      <c r="E130" s="29">
        <f t="shared" si="8"/>
        <v>3104761.9253695728</v>
      </c>
      <c r="F130" s="30">
        <f t="shared" si="9"/>
        <v>25002.558603670939</v>
      </c>
      <c r="G130" s="30">
        <f t="shared" si="10"/>
        <v>3129.7644839732425</v>
      </c>
      <c r="H130" s="31">
        <f t="shared" si="11"/>
        <v>3460275.739780236</v>
      </c>
      <c r="I130" s="10"/>
    </row>
    <row r="131" spans="2:9" x14ac:dyDescent="0.25">
      <c r="B131" s="38"/>
      <c r="C131" s="23">
        <f t="shared" si="6"/>
        <v>124</v>
      </c>
      <c r="D131" s="24">
        <f t="shared" si="7"/>
        <v>45459</v>
      </c>
      <c r="E131" s="25">
        <f t="shared" si="8"/>
        <v>3079734.364207298</v>
      </c>
      <c r="F131" s="26">
        <f t="shared" si="9"/>
        <v>25027.561162274611</v>
      </c>
      <c r="G131" s="26">
        <f t="shared" si="10"/>
        <v>3104.7619253695716</v>
      </c>
      <c r="H131" s="27">
        <f t="shared" si="11"/>
        <v>3488408.0628678803</v>
      </c>
      <c r="I131" s="10"/>
    </row>
    <row r="132" spans="2:9" x14ac:dyDescent="0.25">
      <c r="B132" s="38"/>
      <c r="C132" s="23">
        <f t="shared" si="6"/>
        <v>125</v>
      </c>
      <c r="D132" s="28">
        <f t="shared" si="7"/>
        <v>45489</v>
      </c>
      <c r="E132" s="29">
        <f t="shared" si="8"/>
        <v>3054681.7754838611</v>
      </c>
      <c r="F132" s="30">
        <f t="shared" si="9"/>
        <v>25052.588723436886</v>
      </c>
      <c r="G132" s="30">
        <f t="shared" si="10"/>
        <v>3079.7343642072969</v>
      </c>
      <c r="H132" s="31">
        <f t="shared" si="11"/>
        <v>3516540.3859555246</v>
      </c>
      <c r="I132" s="10"/>
    </row>
    <row r="133" spans="2:9" x14ac:dyDescent="0.25">
      <c r="B133" s="38"/>
      <c r="C133" s="23">
        <f t="shared" si="6"/>
        <v>126</v>
      </c>
      <c r="D133" s="24">
        <f t="shared" si="7"/>
        <v>45520</v>
      </c>
      <c r="E133" s="25">
        <f t="shared" si="8"/>
        <v>3029604.1341717006</v>
      </c>
      <c r="F133" s="26">
        <f t="shared" si="9"/>
        <v>25077.641312160325</v>
      </c>
      <c r="G133" s="26">
        <f t="shared" si="10"/>
        <v>3054.6817754838603</v>
      </c>
      <c r="H133" s="27">
        <f t="shared" si="11"/>
        <v>3544672.7090431689</v>
      </c>
      <c r="I133" s="10"/>
    </row>
    <row r="134" spans="2:9" x14ac:dyDescent="0.25">
      <c r="B134" s="38"/>
      <c r="C134" s="23">
        <f t="shared" si="6"/>
        <v>127</v>
      </c>
      <c r="D134" s="28">
        <f t="shared" si="7"/>
        <v>45551</v>
      </c>
      <c r="E134" s="29">
        <f t="shared" si="8"/>
        <v>3004501.415218228</v>
      </c>
      <c r="F134" s="30">
        <f t="shared" si="9"/>
        <v>25102.718953472486</v>
      </c>
      <c r="G134" s="30">
        <f t="shared" si="10"/>
        <v>3029.6041341716996</v>
      </c>
      <c r="H134" s="31">
        <f t="shared" si="11"/>
        <v>3572805.0321308132</v>
      </c>
      <c r="I134" s="10"/>
    </row>
    <row r="135" spans="2:9" x14ac:dyDescent="0.25">
      <c r="B135" s="38"/>
      <c r="C135" s="23">
        <f t="shared" si="6"/>
        <v>128</v>
      </c>
      <c r="D135" s="24">
        <f t="shared" si="7"/>
        <v>45581</v>
      </c>
      <c r="E135" s="25">
        <f t="shared" si="8"/>
        <v>2979373.5935458019</v>
      </c>
      <c r="F135" s="26">
        <f t="shared" si="9"/>
        <v>25127.821672425955</v>
      </c>
      <c r="G135" s="26">
        <f t="shared" si="10"/>
        <v>3004.5014152182271</v>
      </c>
      <c r="H135" s="27">
        <f t="shared" si="11"/>
        <v>3600937.3552184575</v>
      </c>
      <c r="I135" s="10"/>
    </row>
    <row r="136" spans="2:9" x14ac:dyDescent="0.25">
      <c r="B136" s="38"/>
      <c r="C136" s="23">
        <f t="shared" si="6"/>
        <v>129</v>
      </c>
      <c r="D136" s="28">
        <f t="shared" si="7"/>
        <v>45612</v>
      </c>
      <c r="E136" s="29">
        <f t="shared" si="8"/>
        <v>2954220.6440517036</v>
      </c>
      <c r="F136" s="30">
        <f t="shared" si="9"/>
        <v>25152.949494098386</v>
      </c>
      <c r="G136" s="30">
        <f t="shared" si="10"/>
        <v>2979.3735935458017</v>
      </c>
      <c r="H136" s="31">
        <f t="shared" si="11"/>
        <v>3629069.6783061018</v>
      </c>
      <c r="I136" s="10"/>
    </row>
    <row r="137" spans="2:9" x14ac:dyDescent="0.25">
      <c r="B137" s="38"/>
      <c r="C137" s="23">
        <f t="shared" ref="C137:C200" si="12">IF(C136&lt;$F$6,C136+1,"")</f>
        <v>130</v>
      </c>
      <c r="D137" s="24">
        <f t="shared" si="7"/>
        <v>45642</v>
      </c>
      <c r="E137" s="25">
        <f t="shared" si="8"/>
        <v>2929042.541608111</v>
      </c>
      <c r="F137" s="26">
        <f t="shared" si="9"/>
        <v>25178.102443592481</v>
      </c>
      <c r="G137" s="26">
        <f t="shared" si="10"/>
        <v>2954.2206440517029</v>
      </c>
      <c r="H137" s="27">
        <f t="shared" si="11"/>
        <v>3657202.0013937461</v>
      </c>
      <c r="I137" s="10"/>
    </row>
    <row r="138" spans="2:9" x14ac:dyDescent="0.25">
      <c r="B138" s="38"/>
      <c r="C138" s="23">
        <f t="shared" si="12"/>
        <v>131</v>
      </c>
      <c r="D138" s="28">
        <f t="shared" ref="D138:D201" si="13">IF(C138="","",DATE(YEAR(D137),MONTH(D137)+1,DAY(D137)))</f>
        <v>45673</v>
      </c>
      <c r="E138" s="29">
        <f t="shared" ref="E138:E201" si="14">IF(C138="","",E137-F138)</f>
        <v>2903839.2610620749</v>
      </c>
      <c r="F138" s="30">
        <f t="shared" ref="F138:F201" si="15">IF(C138="","",-PPMT($F$5/12,C138,$F$4*12,$D$5))</f>
        <v>25203.280546036072</v>
      </c>
      <c r="G138" s="30">
        <f t="shared" ref="G138:G201" si="16">IF(C138="","",-IPMT($F$5/12,C138,$F$4*12,$D$5))</f>
        <v>2929.0425416081102</v>
      </c>
      <c r="H138" s="31">
        <f t="shared" ref="H138:H201" si="17">IF(C138="","",H137+F138+G138)</f>
        <v>3685334.3244813904</v>
      </c>
      <c r="I138" s="10"/>
    </row>
    <row r="139" spans="2:9" ht="16.5" thickBot="1" x14ac:dyDescent="0.3">
      <c r="B139" s="39"/>
      <c r="C139" s="32">
        <f t="shared" si="12"/>
        <v>132</v>
      </c>
      <c r="D139" s="33">
        <f t="shared" si="13"/>
        <v>45704</v>
      </c>
      <c r="E139" s="34">
        <f t="shared" si="14"/>
        <v>2878610.7772354926</v>
      </c>
      <c r="F139" s="35">
        <f t="shared" si="15"/>
        <v>25228.483826582109</v>
      </c>
      <c r="G139" s="35">
        <f t="shared" si="16"/>
        <v>2903.839261062074</v>
      </c>
      <c r="H139" s="36">
        <f t="shared" si="17"/>
        <v>3713466.6475690347</v>
      </c>
      <c r="I139" s="10"/>
    </row>
    <row r="140" spans="2:9" ht="16.5" thickTop="1" x14ac:dyDescent="0.25">
      <c r="B140" s="37" t="s">
        <v>13</v>
      </c>
      <c r="C140" s="19">
        <f t="shared" si="12"/>
        <v>133</v>
      </c>
      <c r="D140" s="28">
        <f t="shared" si="13"/>
        <v>45732</v>
      </c>
      <c r="E140" s="29">
        <f t="shared" si="14"/>
        <v>2853357.0649250839</v>
      </c>
      <c r="F140" s="30">
        <f t="shared" si="15"/>
        <v>25253.71231040869</v>
      </c>
      <c r="G140" s="30">
        <f t="shared" si="16"/>
        <v>2878.6107772354922</v>
      </c>
      <c r="H140" s="31">
        <f t="shared" si="17"/>
        <v>3741598.970656679</v>
      </c>
      <c r="I140" s="10"/>
    </row>
    <row r="141" spans="2:9" x14ac:dyDescent="0.25">
      <c r="B141" s="38"/>
      <c r="C141" s="23">
        <f t="shared" si="12"/>
        <v>134</v>
      </c>
      <c r="D141" s="24">
        <f t="shared" si="13"/>
        <v>45763</v>
      </c>
      <c r="E141" s="25">
        <f t="shared" si="14"/>
        <v>2828078.0989023647</v>
      </c>
      <c r="F141" s="26">
        <f t="shared" si="15"/>
        <v>25278.966022719098</v>
      </c>
      <c r="G141" s="26">
        <f t="shared" si="16"/>
        <v>2853.3570649250837</v>
      </c>
      <c r="H141" s="27">
        <f t="shared" si="17"/>
        <v>3769731.2937443233</v>
      </c>
      <c r="I141" s="10"/>
    </row>
    <row r="142" spans="2:9" x14ac:dyDescent="0.25">
      <c r="B142" s="38"/>
      <c r="C142" s="23">
        <f t="shared" si="12"/>
        <v>135</v>
      </c>
      <c r="D142" s="28">
        <f t="shared" si="13"/>
        <v>45793</v>
      </c>
      <c r="E142" s="29">
        <f t="shared" si="14"/>
        <v>2802773.8539136229</v>
      </c>
      <c r="F142" s="30">
        <f t="shared" si="15"/>
        <v>25304.244988741819</v>
      </c>
      <c r="G142" s="30">
        <f t="shared" si="16"/>
        <v>2828.0780989023647</v>
      </c>
      <c r="H142" s="31">
        <f t="shared" si="17"/>
        <v>3797863.6168319676</v>
      </c>
      <c r="I142" s="10"/>
    </row>
    <row r="143" spans="2:9" x14ac:dyDescent="0.25">
      <c r="B143" s="38"/>
      <c r="C143" s="23">
        <f t="shared" si="12"/>
        <v>136</v>
      </c>
      <c r="D143" s="24">
        <f t="shared" si="13"/>
        <v>45824</v>
      </c>
      <c r="E143" s="25">
        <f t="shared" si="14"/>
        <v>2777444.3046798925</v>
      </c>
      <c r="F143" s="26">
        <f t="shared" si="15"/>
        <v>25329.549233730559</v>
      </c>
      <c r="G143" s="26">
        <f t="shared" si="16"/>
        <v>2802.7738539136226</v>
      </c>
      <c r="H143" s="27">
        <f t="shared" si="17"/>
        <v>3825995.9399196114</v>
      </c>
      <c r="I143" s="10"/>
    </row>
    <row r="144" spans="2:9" x14ac:dyDescent="0.25">
      <c r="B144" s="38"/>
      <c r="C144" s="23">
        <f t="shared" si="12"/>
        <v>137</v>
      </c>
      <c r="D144" s="28">
        <f t="shared" si="13"/>
        <v>45854</v>
      </c>
      <c r="E144" s="29">
        <f t="shared" si="14"/>
        <v>2752089.4258969282</v>
      </c>
      <c r="F144" s="30">
        <f t="shared" si="15"/>
        <v>25354.878782964293</v>
      </c>
      <c r="G144" s="30">
        <f t="shared" si="16"/>
        <v>2777.4443046798915</v>
      </c>
      <c r="H144" s="31">
        <f t="shared" si="17"/>
        <v>3854128.2630072557</v>
      </c>
      <c r="I144" s="10"/>
    </row>
    <row r="145" spans="2:9" x14ac:dyDescent="0.25">
      <c r="B145" s="38"/>
      <c r="C145" s="23">
        <f t="shared" si="12"/>
        <v>138</v>
      </c>
      <c r="D145" s="24">
        <f t="shared" si="13"/>
        <v>45885</v>
      </c>
      <c r="E145" s="25">
        <f t="shared" si="14"/>
        <v>2726709.1922351811</v>
      </c>
      <c r="F145" s="26">
        <f t="shared" si="15"/>
        <v>25380.233661747254</v>
      </c>
      <c r="G145" s="26">
        <f t="shared" si="16"/>
        <v>2752.0894258969279</v>
      </c>
      <c r="H145" s="27">
        <f t="shared" si="17"/>
        <v>3882260.5860948996</v>
      </c>
      <c r="I145" s="10"/>
    </row>
    <row r="146" spans="2:9" x14ac:dyDescent="0.25">
      <c r="B146" s="38"/>
      <c r="C146" s="23">
        <f t="shared" si="12"/>
        <v>139</v>
      </c>
      <c r="D146" s="28">
        <f t="shared" si="13"/>
        <v>45916</v>
      </c>
      <c r="E146" s="29">
        <f t="shared" si="14"/>
        <v>2701303.5783397723</v>
      </c>
      <c r="F146" s="30">
        <f t="shared" si="15"/>
        <v>25405.613895409002</v>
      </c>
      <c r="G146" s="30">
        <f t="shared" si="16"/>
        <v>2726.7091922351806</v>
      </c>
      <c r="H146" s="31">
        <f t="shared" si="17"/>
        <v>3910392.9091825434</v>
      </c>
      <c r="I146" s="10"/>
    </row>
    <row r="147" spans="2:9" x14ac:dyDescent="0.25">
      <c r="B147" s="38"/>
      <c r="C147" s="23">
        <f t="shared" si="12"/>
        <v>140</v>
      </c>
      <c r="D147" s="24">
        <f t="shared" si="13"/>
        <v>45946</v>
      </c>
      <c r="E147" s="25">
        <f t="shared" si="14"/>
        <v>2675872.558830468</v>
      </c>
      <c r="F147" s="26">
        <f t="shared" si="15"/>
        <v>25431.019509304413</v>
      </c>
      <c r="G147" s="26">
        <f t="shared" si="16"/>
        <v>2701.3035783397713</v>
      </c>
      <c r="H147" s="27">
        <f t="shared" si="17"/>
        <v>3938525.2322701877</v>
      </c>
      <c r="I147" s="10"/>
    </row>
    <row r="148" spans="2:9" x14ac:dyDescent="0.25">
      <c r="B148" s="38"/>
      <c r="C148" s="23">
        <f t="shared" si="12"/>
        <v>141</v>
      </c>
      <c r="D148" s="28">
        <f t="shared" si="13"/>
        <v>45977</v>
      </c>
      <c r="E148" s="29">
        <f t="shared" si="14"/>
        <v>2650416.1083016545</v>
      </c>
      <c r="F148" s="30">
        <f t="shared" si="15"/>
        <v>25456.450528813715</v>
      </c>
      <c r="G148" s="30">
        <f t="shared" si="16"/>
        <v>2675.8725588304669</v>
      </c>
      <c r="H148" s="31">
        <f t="shared" si="17"/>
        <v>3966657.5553578315</v>
      </c>
      <c r="I148" s="10"/>
    </row>
    <row r="149" spans="2:9" x14ac:dyDescent="0.25">
      <c r="B149" s="38"/>
      <c r="C149" s="23">
        <f t="shared" si="12"/>
        <v>142</v>
      </c>
      <c r="D149" s="24">
        <f t="shared" si="13"/>
        <v>46007</v>
      </c>
      <c r="E149" s="25">
        <f t="shared" si="14"/>
        <v>2624934.201322312</v>
      </c>
      <c r="F149" s="26">
        <f t="shared" si="15"/>
        <v>25481.90697934253</v>
      </c>
      <c r="G149" s="26">
        <f t="shared" si="16"/>
        <v>2650.4161083016529</v>
      </c>
      <c r="H149" s="27">
        <f t="shared" si="17"/>
        <v>3994789.8784454758</v>
      </c>
      <c r="I149" s="10"/>
    </row>
    <row r="150" spans="2:9" x14ac:dyDescent="0.25">
      <c r="B150" s="38"/>
      <c r="C150" s="23">
        <f t="shared" si="12"/>
        <v>143</v>
      </c>
      <c r="D150" s="28">
        <f t="shared" si="13"/>
        <v>46038</v>
      </c>
      <c r="E150" s="29">
        <f t="shared" si="14"/>
        <v>2599426.8124359902</v>
      </c>
      <c r="F150" s="30">
        <f t="shared" si="15"/>
        <v>25507.388886321874</v>
      </c>
      <c r="G150" s="30">
        <f t="shared" si="16"/>
        <v>2624.9342013223109</v>
      </c>
      <c r="H150" s="31">
        <f t="shared" si="17"/>
        <v>4022922.2015331201</v>
      </c>
      <c r="I150" s="10"/>
    </row>
    <row r="151" spans="2:9" ht="16.5" thickBot="1" x14ac:dyDescent="0.3">
      <c r="B151" s="39"/>
      <c r="C151" s="32">
        <f t="shared" si="12"/>
        <v>144</v>
      </c>
      <c r="D151" s="33">
        <f t="shared" si="13"/>
        <v>46069</v>
      </c>
      <c r="E151" s="34">
        <f t="shared" si="14"/>
        <v>2573893.9161607819</v>
      </c>
      <c r="F151" s="35">
        <f t="shared" si="15"/>
        <v>25532.896275208193</v>
      </c>
      <c r="G151" s="35">
        <f t="shared" si="16"/>
        <v>2599.4268124359887</v>
      </c>
      <c r="H151" s="36">
        <f t="shared" si="17"/>
        <v>4051054.5246207644</v>
      </c>
      <c r="I151" s="10"/>
    </row>
    <row r="152" spans="2:9" ht="16.5" thickTop="1" x14ac:dyDescent="0.25">
      <c r="B152" s="41" t="s">
        <v>14</v>
      </c>
      <c r="C152" s="19">
        <f t="shared" si="12"/>
        <v>145</v>
      </c>
      <c r="D152" s="28">
        <f t="shared" si="13"/>
        <v>46097</v>
      </c>
      <c r="E152" s="29">
        <f t="shared" si="14"/>
        <v>2548335.4869892984</v>
      </c>
      <c r="F152" s="30">
        <f t="shared" si="15"/>
        <v>25558.429171483403</v>
      </c>
      <c r="G152" s="30">
        <f t="shared" si="16"/>
        <v>2573.8939161607809</v>
      </c>
      <c r="H152" s="31">
        <f t="shared" si="17"/>
        <v>4079186.8477084087</v>
      </c>
      <c r="I152" s="10"/>
    </row>
    <row r="153" spans="2:9" x14ac:dyDescent="0.25">
      <c r="B153" s="40"/>
      <c r="C153" s="23">
        <f t="shared" si="12"/>
        <v>146</v>
      </c>
      <c r="D153" s="24">
        <f t="shared" si="13"/>
        <v>46128</v>
      </c>
      <c r="E153" s="25">
        <f t="shared" si="14"/>
        <v>2522751.4993886435</v>
      </c>
      <c r="F153" s="26">
        <f t="shared" si="15"/>
        <v>25583.987600654888</v>
      </c>
      <c r="G153" s="26">
        <f t="shared" si="16"/>
        <v>2548.3354869892969</v>
      </c>
      <c r="H153" s="27">
        <f t="shared" si="17"/>
        <v>4107319.170796053</v>
      </c>
      <c r="I153" s="10"/>
    </row>
    <row r="154" spans="2:9" x14ac:dyDescent="0.25">
      <c r="B154" s="40"/>
      <c r="C154" s="23">
        <f t="shared" si="12"/>
        <v>147</v>
      </c>
      <c r="D154" s="28">
        <f t="shared" si="13"/>
        <v>46158</v>
      </c>
      <c r="E154" s="29">
        <f t="shared" si="14"/>
        <v>2497141.9278003881</v>
      </c>
      <c r="F154" s="30">
        <f t="shared" si="15"/>
        <v>25609.571588255541</v>
      </c>
      <c r="G154" s="30">
        <f t="shared" si="16"/>
        <v>2522.7514993886425</v>
      </c>
      <c r="H154" s="31">
        <f t="shared" si="17"/>
        <v>4135451.4938836973</v>
      </c>
      <c r="I154" s="10"/>
    </row>
    <row r="155" spans="2:9" x14ac:dyDescent="0.25">
      <c r="B155" s="40"/>
      <c r="C155" s="23">
        <f t="shared" si="12"/>
        <v>148</v>
      </c>
      <c r="D155" s="24">
        <f t="shared" si="13"/>
        <v>46189</v>
      </c>
      <c r="E155" s="25">
        <f t="shared" si="14"/>
        <v>2471506.7466405444</v>
      </c>
      <c r="F155" s="26">
        <f t="shared" si="15"/>
        <v>25635.181159843796</v>
      </c>
      <c r="G155" s="26">
        <f t="shared" si="16"/>
        <v>2497.1419278003868</v>
      </c>
      <c r="H155" s="27">
        <f t="shared" si="17"/>
        <v>4163583.8169713416</v>
      </c>
      <c r="I155" s="10"/>
    </row>
    <row r="156" spans="2:9" x14ac:dyDescent="0.25">
      <c r="B156" s="40"/>
      <c r="C156" s="23">
        <f t="shared" si="12"/>
        <v>149</v>
      </c>
      <c r="D156" s="28">
        <f t="shared" si="13"/>
        <v>46219</v>
      </c>
      <c r="E156" s="29">
        <f t="shared" si="14"/>
        <v>2445845.9302995405</v>
      </c>
      <c r="F156" s="30">
        <f t="shared" si="15"/>
        <v>25660.81634100364</v>
      </c>
      <c r="G156" s="30">
        <f t="shared" si="16"/>
        <v>2471.5067466405426</v>
      </c>
      <c r="H156" s="31">
        <f t="shared" si="17"/>
        <v>4191716.1400589859</v>
      </c>
      <c r="I156" s="10"/>
    </row>
    <row r="157" spans="2:9" x14ac:dyDescent="0.25">
      <c r="B157" s="40"/>
      <c r="C157" s="23">
        <f t="shared" si="12"/>
        <v>150</v>
      </c>
      <c r="D157" s="24">
        <f t="shared" si="13"/>
        <v>46250</v>
      </c>
      <c r="E157" s="25">
        <f t="shared" si="14"/>
        <v>2420159.4531421959</v>
      </c>
      <c r="F157" s="26">
        <f t="shared" si="15"/>
        <v>25686.477157344645</v>
      </c>
      <c r="G157" s="26">
        <f t="shared" si="16"/>
        <v>2445.8459302995393</v>
      </c>
      <c r="H157" s="27">
        <f t="shared" si="17"/>
        <v>4219848.4631466307</v>
      </c>
      <c r="I157" s="10"/>
    </row>
    <row r="158" spans="2:9" x14ac:dyDescent="0.25">
      <c r="B158" s="40"/>
      <c r="C158" s="23">
        <f t="shared" si="12"/>
        <v>151</v>
      </c>
      <c r="D158" s="28">
        <f t="shared" si="13"/>
        <v>46281</v>
      </c>
      <c r="E158" s="29">
        <f t="shared" si="14"/>
        <v>2394447.2895076941</v>
      </c>
      <c r="F158" s="30">
        <f t="shared" si="15"/>
        <v>25712.163634501987</v>
      </c>
      <c r="G158" s="30">
        <f t="shared" si="16"/>
        <v>2420.1594531421947</v>
      </c>
      <c r="H158" s="31">
        <f t="shared" si="17"/>
        <v>4247980.7862342754</v>
      </c>
      <c r="I158" s="10"/>
    </row>
    <row r="159" spans="2:9" x14ac:dyDescent="0.25">
      <c r="B159" s="40"/>
      <c r="C159" s="23">
        <f t="shared" si="12"/>
        <v>152</v>
      </c>
      <c r="D159" s="24">
        <f t="shared" si="13"/>
        <v>46311</v>
      </c>
      <c r="E159" s="25">
        <f t="shared" si="14"/>
        <v>2368709.4137095576</v>
      </c>
      <c r="F159" s="26">
        <f t="shared" si="15"/>
        <v>25737.875798136487</v>
      </c>
      <c r="G159" s="26">
        <f t="shared" si="16"/>
        <v>2394.4472895076929</v>
      </c>
      <c r="H159" s="27">
        <f t="shared" si="17"/>
        <v>4276113.1093219202</v>
      </c>
      <c r="I159" s="10"/>
    </row>
    <row r="160" spans="2:9" x14ac:dyDescent="0.25">
      <c r="B160" s="40"/>
      <c r="C160" s="23">
        <f t="shared" si="12"/>
        <v>153</v>
      </c>
      <c r="D160" s="28">
        <f t="shared" si="13"/>
        <v>46342</v>
      </c>
      <c r="E160" s="29">
        <f t="shared" si="14"/>
        <v>2342945.8000356229</v>
      </c>
      <c r="F160" s="30">
        <f t="shared" si="15"/>
        <v>25763.613673934629</v>
      </c>
      <c r="G160" s="30">
        <f t="shared" si="16"/>
        <v>2368.7094137095564</v>
      </c>
      <c r="H160" s="31">
        <f t="shared" si="17"/>
        <v>4304245.432409564</v>
      </c>
      <c r="I160" s="10"/>
    </row>
    <row r="161" spans="2:9" x14ac:dyDescent="0.25">
      <c r="B161" s="40"/>
      <c r="C161" s="23">
        <f t="shared" si="12"/>
        <v>154</v>
      </c>
      <c r="D161" s="24">
        <f t="shared" si="13"/>
        <v>46372</v>
      </c>
      <c r="E161" s="25">
        <f t="shared" si="14"/>
        <v>2317156.4227480143</v>
      </c>
      <c r="F161" s="26">
        <f t="shared" si="15"/>
        <v>25789.37728760856</v>
      </c>
      <c r="G161" s="26">
        <f t="shared" si="16"/>
        <v>2342.9458000356217</v>
      </c>
      <c r="H161" s="27">
        <f t="shared" si="17"/>
        <v>4332377.7554972079</v>
      </c>
      <c r="I161" s="10"/>
    </row>
    <row r="162" spans="2:9" x14ac:dyDescent="0.25">
      <c r="B162" s="40"/>
      <c r="C162" s="23">
        <f t="shared" si="12"/>
        <v>155</v>
      </c>
      <c r="D162" s="28">
        <f t="shared" si="13"/>
        <v>46403</v>
      </c>
      <c r="E162" s="29">
        <f t="shared" si="14"/>
        <v>2291341.2560831183</v>
      </c>
      <c r="F162" s="30">
        <f t="shared" si="15"/>
        <v>25815.166664896173</v>
      </c>
      <c r="G162" s="30">
        <f t="shared" si="16"/>
        <v>2317.156422748013</v>
      </c>
      <c r="H162" s="31">
        <f t="shared" si="17"/>
        <v>4360510.0785848526</v>
      </c>
      <c r="I162" s="10"/>
    </row>
    <row r="163" spans="2:9" ht="16.5" thickBot="1" x14ac:dyDescent="0.3">
      <c r="B163" s="42"/>
      <c r="C163" s="32">
        <f t="shared" si="12"/>
        <v>156</v>
      </c>
      <c r="D163" s="33">
        <f t="shared" si="13"/>
        <v>46434</v>
      </c>
      <c r="E163" s="34">
        <f t="shared" si="14"/>
        <v>2265500.2742515574</v>
      </c>
      <c r="F163" s="35">
        <f t="shared" si="15"/>
        <v>25840.981831561068</v>
      </c>
      <c r="G163" s="35">
        <f t="shared" si="16"/>
        <v>2291.3412560831166</v>
      </c>
      <c r="H163" s="36">
        <f t="shared" si="17"/>
        <v>4388642.4016724965</v>
      </c>
      <c r="I163" s="10"/>
    </row>
    <row r="164" spans="2:9" ht="16.5" thickTop="1" x14ac:dyDescent="0.25">
      <c r="B164" s="37" t="s">
        <v>15</v>
      </c>
      <c r="C164" s="19">
        <f t="shared" si="12"/>
        <v>157</v>
      </c>
      <c r="D164" s="28">
        <f t="shared" si="13"/>
        <v>46462</v>
      </c>
      <c r="E164" s="29">
        <f t="shared" si="14"/>
        <v>2239633.4514381648</v>
      </c>
      <c r="F164" s="30">
        <f t="shared" si="15"/>
        <v>25866.822813392628</v>
      </c>
      <c r="G164" s="30">
        <f t="shared" si="16"/>
        <v>2265.5002742515562</v>
      </c>
      <c r="H164" s="31">
        <f t="shared" si="17"/>
        <v>4416774.7247601403</v>
      </c>
      <c r="I164" s="10"/>
    </row>
    <row r="165" spans="2:9" x14ac:dyDescent="0.25">
      <c r="B165" s="38"/>
      <c r="C165" s="23">
        <f t="shared" si="12"/>
        <v>158</v>
      </c>
      <c r="D165" s="24">
        <f t="shared" si="13"/>
        <v>46493</v>
      </c>
      <c r="E165" s="25">
        <f t="shared" si="14"/>
        <v>2213740.761801959</v>
      </c>
      <c r="F165" s="26">
        <f t="shared" si="15"/>
        <v>25892.689636206022</v>
      </c>
      <c r="G165" s="26">
        <f t="shared" si="16"/>
        <v>2239.6334514381629</v>
      </c>
      <c r="H165" s="27">
        <f t="shared" si="17"/>
        <v>4444907.0478477851</v>
      </c>
      <c r="I165" s="10"/>
    </row>
    <row r="166" spans="2:9" x14ac:dyDescent="0.25">
      <c r="B166" s="38"/>
      <c r="C166" s="23">
        <f t="shared" si="12"/>
        <v>159</v>
      </c>
      <c r="D166" s="28">
        <f t="shared" si="13"/>
        <v>46523</v>
      </c>
      <c r="E166" s="29">
        <f t="shared" si="14"/>
        <v>2187822.1794761168</v>
      </c>
      <c r="F166" s="30">
        <f t="shared" si="15"/>
        <v>25918.582325842224</v>
      </c>
      <c r="G166" s="30">
        <f t="shared" si="16"/>
        <v>2213.740761801957</v>
      </c>
      <c r="H166" s="31">
        <f t="shared" si="17"/>
        <v>4473039.3709354289</v>
      </c>
      <c r="I166" s="10"/>
    </row>
    <row r="167" spans="2:9" x14ac:dyDescent="0.25">
      <c r="B167" s="38"/>
      <c r="C167" s="23">
        <f t="shared" si="12"/>
        <v>160</v>
      </c>
      <c r="D167" s="24">
        <f t="shared" si="13"/>
        <v>46554</v>
      </c>
      <c r="E167" s="25">
        <f t="shared" si="14"/>
        <v>2161877.6785679488</v>
      </c>
      <c r="F167" s="26">
        <f t="shared" si="15"/>
        <v>25944.500908168069</v>
      </c>
      <c r="G167" s="26">
        <f t="shared" si="16"/>
        <v>2187.8221794761148</v>
      </c>
      <c r="H167" s="27">
        <f t="shared" si="17"/>
        <v>4501171.6940230727</v>
      </c>
      <c r="I167" s="10"/>
    </row>
    <row r="168" spans="2:9" x14ac:dyDescent="0.25">
      <c r="B168" s="38"/>
      <c r="C168" s="23">
        <f t="shared" si="12"/>
        <v>161</v>
      </c>
      <c r="D168" s="28">
        <f t="shared" si="13"/>
        <v>46584</v>
      </c>
      <c r="E168" s="29">
        <f t="shared" si="14"/>
        <v>2135907.2331588725</v>
      </c>
      <c r="F168" s="30">
        <f t="shared" si="15"/>
        <v>25970.445409076237</v>
      </c>
      <c r="G168" s="30">
        <f t="shared" si="16"/>
        <v>2161.877678567947</v>
      </c>
      <c r="H168" s="31">
        <f t="shared" si="17"/>
        <v>4529304.0171107166</v>
      </c>
      <c r="I168" s="10"/>
    </row>
    <row r="169" spans="2:9" x14ac:dyDescent="0.25">
      <c r="B169" s="38"/>
      <c r="C169" s="23">
        <f t="shared" si="12"/>
        <v>162</v>
      </c>
      <c r="D169" s="24">
        <f t="shared" si="13"/>
        <v>46615</v>
      </c>
      <c r="E169" s="25">
        <f t="shared" si="14"/>
        <v>2109910.8173043872</v>
      </c>
      <c r="F169" s="26">
        <f t="shared" si="15"/>
        <v>25996.415854485313</v>
      </c>
      <c r="G169" s="26">
        <f t="shared" si="16"/>
        <v>2135.9072331588704</v>
      </c>
      <c r="H169" s="27">
        <f t="shared" si="17"/>
        <v>4557436.3401983613</v>
      </c>
      <c r="I169" s="10"/>
    </row>
    <row r="170" spans="2:9" x14ac:dyDescent="0.25">
      <c r="B170" s="38"/>
      <c r="C170" s="23">
        <f t="shared" si="12"/>
        <v>163</v>
      </c>
      <c r="D170" s="28">
        <f t="shared" si="13"/>
        <v>46646</v>
      </c>
      <c r="E170" s="29">
        <f t="shared" si="14"/>
        <v>2083888.4050340473</v>
      </c>
      <c r="F170" s="30">
        <f t="shared" si="15"/>
        <v>26022.412270339799</v>
      </c>
      <c r="G170" s="30">
        <f t="shared" si="16"/>
        <v>2109.9108173043855</v>
      </c>
      <c r="H170" s="31">
        <f t="shared" si="17"/>
        <v>4585568.6632860061</v>
      </c>
      <c r="I170" s="10"/>
    </row>
    <row r="171" spans="2:9" x14ac:dyDescent="0.25">
      <c r="B171" s="38"/>
      <c r="C171" s="23">
        <f t="shared" si="12"/>
        <v>164</v>
      </c>
      <c r="D171" s="24">
        <f t="shared" si="13"/>
        <v>46676</v>
      </c>
      <c r="E171" s="25">
        <f t="shared" si="14"/>
        <v>2057839.9703514371</v>
      </c>
      <c r="F171" s="26">
        <f t="shared" si="15"/>
        <v>26048.434682610135</v>
      </c>
      <c r="G171" s="26">
        <f t="shared" si="16"/>
        <v>2083.8884050340457</v>
      </c>
      <c r="H171" s="27">
        <f t="shared" si="17"/>
        <v>4613700.9863736508</v>
      </c>
      <c r="I171" s="10"/>
    </row>
    <row r="172" spans="2:9" x14ac:dyDescent="0.25">
      <c r="B172" s="38"/>
      <c r="C172" s="23">
        <f t="shared" si="12"/>
        <v>165</v>
      </c>
      <c r="D172" s="28">
        <f t="shared" si="13"/>
        <v>46707</v>
      </c>
      <c r="E172" s="29">
        <f t="shared" si="14"/>
        <v>2031765.4872341445</v>
      </c>
      <c r="F172" s="30">
        <f t="shared" si="15"/>
        <v>26074.483117292748</v>
      </c>
      <c r="G172" s="30">
        <f t="shared" si="16"/>
        <v>2057.8399703514351</v>
      </c>
      <c r="H172" s="31">
        <f t="shared" si="17"/>
        <v>4641833.3094612947</v>
      </c>
      <c r="I172" s="10"/>
    </row>
    <row r="173" spans="2:9" x14ac:dyDescent="0.25">
      <c r="B173" s="38"/>
      <c r="C173" s="23">
        <f t="shared" si="12"/>
        <v>166</v>
      </c>
      <c r="D173" s="24">
        <f t="shared" si="13"/>
        <v>46737</v>
      </c>
      <c r="E173" s="25">
        <f t="shared" si="14"/>
        <v>2005664.9296337345</v>
      </c>
      <c r="F173" s="26">
        <f t="shared" si="15"/>
        <v>26100.55760041004</v>
      </c>
      <c r="G173" s="26">
        <f t="shared" si="16"/>
        <v>2031.7654872341427</v>
      </c>
      <c r="H173" s="27">
        <f t="shared" si="17"/>
        <v>4669965.6325489385</v>
      </c>
      <c r="I173" s="10"/>
    </row>
    <row r="174" spans="2:9" x14ac:dyDescent="0.25">
      <c r="B174" s="38"/>
      <c r="C174" s="23">
        <f t="shared" si="12"/>
        <v>167</v>
      </c>
      <c r="D174" s="28">
        <f t="shared" si="13"/>
        <v>46768</v>
      </c>
      <c r="E174" s="29">
        <f t="shared" si="14"/>
        <v>1979538.2714757242</v>
      </c>
      <c r="F174" s="30">
        <f t="shared" si="15"/>
        <v>26126.65815801045</v>
      </c>
      <c r="G174" s="30">
        <f t="shared" si="16"/>
        <v>2005.6649296337325</v>
      </c>
      <c r="H174" s="31">
        <f t="shared" si="17"/>
        <v>4698097.9556365833</v>
      </c>
      <c r="I174" s="10"/>
    </row>
    <row r="175" spans="2:9" ht="16.5" thickBot="1" x14ac:dyDescent="0.3">
      <c r="B175" s="39"/>
      <c r="C175" s="32">
        <f t="shared" si="12"/>
        <v>168</v>
      </c>
      <c r="D175" s="33">
        <f t="shared" si="13"/>
        <v>46799</v>
      </c>
      <c r="E175" s="34">
        <f t="shared" si="14"/>
        <v>1953385.4866595557</v>
      </c>
      <c r="F175" s="35">
        <f t="shared" si="15"/>
        <v>26152.784816168456</v>
      </c>
      <c r="G175" s="35">
        <f t="shared" si="16"/>
        <v>1979.5382714757218</v>
      </c>
      <c r="H175" s="36">
        <f t="shared" si="17"/>
        <v>4726230.2787242271</v>
      </c>
      <c r="I175" s="10"/>
    </row>
    <row r="176" spans="2:9" ht="16.5" thickTop="1" x14ac:dyDescent="0.25">
      <c r="B176" s="37" t="s">
        <v>16</v>
      </c>
      <c r="C176" s="19">
        <f t="shared" si="12"/>
        <v>169</v>
      </c>
      <c r="D176" s="28">
        <f t="shared" si="13"/>
        <v>46828</v>
      </c>
      <c r="E176" s="29">
        <f t="shared" si="14"/>
        <v>1927206.549058571</v>
      </c>
      <c r="F176" s="30">
        <f t="shared" si="15"/>
        <v>26178.937600984631</v>
      </c>
      <c r="G176" s="30">
        <f t="shared" si="16"/>
        <v>1953.3854866595536</v>
      </c>
      <c r="H176" s="31">
        <f t="shared" si="17"/>
        <v>4754362.6018118709</v>
      </c>
      <c r="I176" s="10"/>
    </row>
    <row r="177" spans="2:9" x14ac:dyDescent="0.25">
      <c r="B177" s="38"/>
      <c r="C177" s="23">
        <f t="shared" si="12"/>
        <v>170</v>
      </c>
      <c r="D177" s="24">
        <f t="shared" si="13"/>
        <v>46859</v>
      </c>
      <c r="E177" s="25">
        <f t="shared" si="14"/>
        <v>1901001.4325199854</v>
      </c>
      <c r="F177" s="26">
        <f t="shared" si="15"/>
        <v>26205.116538585615</v>
      </c>
      <c r="G177" s="26">
        <f t="shared" si="16"/>
        <v>1927.206549058569</v>
      </c>
      <c r="H177" s="27">
        <f t="shared" si="17"/>
        <v>4782494.9248995148</v>
      </c>
      <c r="I177" s="10"/>
    </row>
    <row r="178" spans="2:9" x14ac:dyDescent="0.25">
      <c r="B178" s="38"/>
      <c r="C178" s="23">
        <f t="shared" si="12"/>
        <v>171</v>
      </c>
      <c r="D178" s="28">
        <f t="shared" si="13"/>
        <v>46889</v>
      </c>
      <c r="E178" s="29">
        <f t="shared" si="14"/>
        <v>1874770.1108648612</v>
      </c>
      <c r="F178" s="30">
        <f t="shared" si="15"/>
        <v>26231.3216551242</v>
      </c>
      <c r="G178" s="30">
        <f t="shared" si="16"/>
        <v>1901.0014325199834</v>
      </c>
      <c r="H178" s="31">
        <f t="shared" si="17"/>
        <v>4810627.2479871595</v>
      </c>
      <c r="I178" s="10"/>
    </row>
    <row r="179" spans="2:9" x14ac:dyDescent="0.25">
      <c r="B179" s="38"/>
      <c r="C179" s="23">
        <f t="shared" si="12"/>
        <v>172</v>
      </c>
      <c r="D179" s="24">
        <f t="shared" si="13"/>
        <v>46920</v>
      </c>
      <c r="E179" s="25">
        <f t="shared" si="14"/>
        <v>1848512.5578880818</v>
      </c>
      <c r="F179" s="26">
        <f t="shared" si="15"/>
        <v>26257.552976779323</v>
      </c>
      <c r="G179" s="26">
        <f t="shared" si="16"/>
        <v>1874.7701108648594</v>
      </c>
      <c r="H179" s="27">
        <f t="shared" si="17"/>
        <v>4838759.5710748043</v>
      </c>
      <c r="I179" s="10"/>
    </row>
    <row r="180" spans="2:9" x14ac:dyDescent="0.25">
      <c r="B180" s="38"/>
      <c r="C180" s="23">
        <f t="shared" si="12"/>
        <v>173</v>
      </c>
      <c r="D180" s="28">
        <f t="shared" si="13"/>
        <v>46950</v>
      </c>
      <c r="E180" s="29">
        <f t="shared" si="14"/>
        <v>1822228.7473583256</v>
      </c>
      <c r="F180" s="30">
        <f t="shared" si="15"/>
        <v>26283.810529756101</v>
      </c>
      <c r="G180" s="30">
        <f t="shared" si="16"/>
        <v>1848.5125578880802</v>
      </c>
      <c r="H180" s="31">
        <f t="shared" si="17"/>
        <v>4866891.8941624491</v>
      </c>
      <c r="I180" s="10"/>
    </row>
    <row r="181" spans="2:9" x14ac:dyDescent="0.25">
      <c r="B181" s="38"/>
      <c r="C181" s="23">
        <f t="shared" si="12"/>
        <v>174</v>
      </c>
      <c r="D181" s="24">
        <f t="shared" si="13"/>
        <v>46981</v>
      </c>
      <c r="E181" s="25">
        <f t="shared" si="14"/>
        <v>1795918.6530180399</v>
      </c>
      <c r="F181" s="26">
        <f t="shared" si="15"/>
        <v>26310.094340285857</v>
      </c>
      <c r="G181" s="26">
        <f t="shared" si="16"/>
        <v>1822.2287473583242</v>
      </c>
      <c r="H181" s="27">
        <f t="shared" si="17"/>
        <v>4895024.2172500938</v>
      </c>
      <c r="I181" s="10"/>
    </row>
    <row r="182" spans="2:9" x14ac:dyDescent="0.25">
      <c r="B182" s="38"/>
      <c r="C182" s="23">
        <f t="shared" si="12"/>
        <v>175</v>
      </c>
      <c r="D182" s="28">
        <f t="shared" si="13"/>
        <v>47012</v>
      </c>
      <c r="E182" s="29">
        <f t="shared" si="14"/>
        <v>1769582.2485834137</v>
      </c>
      <c r="F182" s="30">
        <f t="shared" si="15"/>
        <v>26336.404434626143</v>
      </c>
      <c r="G182" s="30">
        <f t="shared" si="16"/>
        <v>1795.9186530180375</v>
      </c>
      <c r="H182" s="31">
        <f t="shared" si="17"/>
        <v>4923156.5403377376</v>
      </c>
      <c r="I182" s="10"/>
    </row>
    <row r="183" spans="2:9" x14ac:dyDescent="0.25">
      <c r="B183" s="38"/>
      <c r="C183" s="23">
        <f t="shared" si="12"/>
        <v>176</v>
      </c>
      <c r="D183" s="24">
        <f t="shared" si="13"/>
        <v>47042</v>
      </c>
      <c r="E183" s="25">
        <f t="shared" si="14"/>
        <v>1743219.5077443528</v>
      </c>
      <c r="F183" s="26">
        <f t="shared" si="15"/>
        <v>26362.740839060774</v>
      </c>
      <c r="G183" s="26">
        <f t="shared" si="16"/>
        <v>1769.5822485834119</v>
      </c>
      <c r="H183" s="27">
        <f t="shared" si="17"/>
        <v>4951288.8634253815</v>
      </c>
      <c r="I183" s="10"/>
    </row>
    <row r="184" spans="2:9" x14ac:dyDescent="0.25">
      <c r="B184" s="38"/>
      <c r="C184" s="23">
        <f t="shared" si="12"/>
        <v>177</v>
      </c>
      <c r="D184" s="28">
        <f t="shared" si="13"/>
        <v>47073</v>
      </c>
      <c r="E184" s="29">
        <f t="shared" si="14"/>
        <v>1716830.404164453</v>
      </c>
      <c r="F184" s="30">
        <f t="shared" si="15"/>
        <v>26389.103579899831</v>
      </c>
      <c r="G184" s="30">
        <f t="shared" si="16"/>
        <v>1743.2195077443512</v>
      </c>
      <c r="H184" s="31">
        <f t="shared" si="17"/>
        <v>4979421.1865130262</v>
      </c>
      <c r="I184" s="10"/>
    </row>
    <row r="185" spans="2:9" x14ac:dyDescent="0.25">
      <c r="B185" s="38"/>
      <c r="C185" s="23">
        <f t="shared" si="12"/>
        <v>178</v>
      </c>
      <c r="D185" s="24">
        <f t="shared" si="13"/>
        <v>47103</v>
      </c>
      <c r="E185" s="25">
        <f t="shared" si="14"/>
        <v>1690414.9114809732</v>
      </c>
      <c r="F185" s="26">
        <f t="shared" si="15"/>
        <v>26415.49268347973</v>
      </c>
      <c r="G185" s="26">
        <f t="shared" si="16"/>
        <v>1716.8304041644512</v>
      </c>
      <c r="H185" s="27">
        <f t="shared" si="17"/>
        <v>5007553.5096006701</v>
      </c>
      <c r="I185" s="10"/>
    </row>
    <row r="186" spans="2:9" x14ac:dyDescent="0.25">
      <c r="B186" s="38"/>
      <c r="C186" s="23">
        <f t="shared" si="12"/>
        <v>179</v>
      </c>
      <c r="D186" s="28">
        <f t="shared" si="13"/>
        <v>47134</v>
      </c>
      <c r="E186" s="29">
        <f t="shared" si="14"/>
        <v>1663973.00330481</v>
      </c>
      <c r="F186" s="30">
        <f t="shared" si="15"/>
        <v>26441.908176163211</v>
      </c>
      <c r="G186" s="30">
        <f t="shared" si="16"/>
        <v>1690.4149114809713</v>
      </c>
      <c r="H186" s="31">
        <f t="shared" si="17"/>
        <v>5035685.8326883139</v>
      </c>
      <c r="I186" s="10"/>
    </row>
    <row r="187" spans="2:9" ht="16.5" thickBot="1" x14ac:dyDescent="0.3">
      <c r="B187" s="39"/>
      <c r="C187" s="32">
        <f t="shared" si="12"/>
        <v>180</v>
      </c>
      <c r="D187" s="33">
        <f t="shared" si="13"/>
        <v>47165</v>
      </c>
      <c r="E187" s="34">
        <f t="shared" si="14"/>
        <v>1637504.6532204708</v>
      </c>
      <c r="F187" s="35">
        <f t="shared" si="15"/>
        <v>26468.350084339374</v>
      </c>
      <c r="G187" s="35">
        <f t="shared" si="16"/>
        <v>1663.9730033048079</v>
      </c>
      <c r="H187" s="36">
        <f t="shared" si="17"/>
        <v>5063818.1557759577</v>
      </c>
      <c r="I187" s="10"/>
    </row>
    <row r="188" spans="2:9" ht="16.5" thickTop="1" x14ac:dyDescent="0.25">
      <c r="B188" s="37" t="s">
        <v>17</v>
      </c>
      <c r="C188" s="19">
        <f t="shared" si="12"/>
        <v>181</v>
      </c>
      <c r="D188" s="28">
        <f t="shared" si="13"/>
        <v>47193</v>
      </c>
      <c r="E188" s="29">
        <f t="shared" si="14"/>
        <v>1611009.834786047</v>
      </c>
      <c r="F188" s="30">
        <f t="shared" si="15"/>
        <v>26494.818434423716</v>
      </c>
      <c r="G188" s="30">
        <f t="shared" si="16"/>
        <v>1637.5046532204688</v>
      </c>
      <c r="H188" s="31">
        <f t="shared" si="17"/>
        <v>5091950.4788636016</v>
      </c>
      <c r="I188" s="10"/>
    </row>
    <row r="189" spans="2:9" x14ac:dyDescent="0.25">
      <c r="B189" s="38"/>
      <c r="C189" s="23">
        <f t="shared" si="12"/>
        <v>182</v>
      </c>
      <c r="D189" s="24">
        <f t="shared" si="13"/>
        <v>47224</v>
      </c>
      <c r="E189" s="25">
        <f t="shared" si="14"/>
        <v>1584488.5215331889</v>
      </c>
      <c r="F189" s="26">
        <f t="shared" si="15"/>
        <v>26521.313252858137</v>
      </c>
      <c r="G189" s="26">
        <f t="shared" si="16"/>
        <v>1611.0098347860448</v>
      </c>
      <c r="H189" s="27">
        <f t="shared" si="17"/>
        <v>5120082.8019512454</v>
      </c>
      <c r="I189" s="10"/>
    </row>
    <row r="190" spans="2:9" x14ac:dyDescent="0.25">
      <c r="B190" s="38"/>
      <c r="C190" s="23">
        <f t="shared" si="12"/>
        <v>183</v>
      </c>
      <c r="D190" s="28">
        <f t="shared" si="13"/>
        <v>47254</v>
      </c>
      <c r="E190" s="29">
        <f t="shared" si="14"/>
        <v>1557940.6869670779</v>
      </c>
      <c r="F190" s="30">
        <f t="shared" si="15"/>
        <v>26547.834566110996</v>
      </c>
      <c r="G190" s="30">
        <f t="shared" si="16"/>
        <v>1584.4885215331867</v>
      </c>
      <c r="H190" s="31">
        <f t="shared" si="17"/>
        <v>5148215.1250388892</v>
      </c>
      <c r="I190" s="10"/>
    </row>
    <row r="191" spans="2:9" x14ac:dyDescent="0.25">
      <c r="B191" s="38"/>
      <c r="C191" s="23">
        <f t="shared" si="12"/>
        <v>184</v>
      </c>
      <c r="D191" s="24">
        <f t="shared" si="13"/>
        <v>47285</v>
      </c>
      <c r="E191" s="25">
        <f t="shared" si="14"/>
        <v>1531366.3045664008</v>
      </c>
      <c r="F191" s="26">
        <f t="shared" si="15"/>
        <v>26574.382400677103</v>
      </c>
      <c r="G191" s="26">
        <f t="shared" si="16"/>
        <v>1557.9406869670759</v>
      </c>
      <c r="H191" s="27">
        <f t="shared" si="17"/>
        <v>5176347.448126534</v>
      </c>
      <c r="I191" s="10"/>
    </row>
    <row r="192" spans="2:9" x14ac:dyDescent="0.25">
      <c r="B192" s="38"/>
      <c r="C192" s="23">
        <f t="shared" si="12"/>
        <v>185</v>
      </c>
      <c r="D192" s="28">
        <f t="shared" si="13"/>
        <v>47315</v>
      </c>
      <c r="E192" s="29">
        <f t="shared" si="14"/>
        <v>1504765.3477833231</v>
      </c>
      <c r="F192" s="30">
        <f t="shared" si="15"/>
        <v>26600.956783077785</v>
      </c>
      <c r="G192" s="30">
        <f t="shared" si="16"/>
        <v>1531.3663045663991</v>
      </c>
      <c r="H192" s="31">
        <f t="shared" si="17"/>
        <v>5204479.7712141778</v>
      </c>
      <c r="I192" s="10"/>
    </row>
    <row r="193" spans="2:9" x14ac:dyDescent="0.25">
      <c r="B193" s="38"/>
      <c r="C193" s="23">
        <f t="shared" si="12"/>
        <v>186</v>
      </c>
      <c r="D193" s="24">
        <f t="shared" si="13"/>
        <v>47346</v>
      </c>
      <c r="E193" s="25">
        <f t="shared" si="14"/>
        <v>1478137.7900434623</v>
      </c>
      <c r="F193" s="26">
        <f t="shared" si="15"/>
        <v>26627.557739860862</v>
      </c>
      <c r="G193" s="26">
        <f t="shared" si="16"/>
        <v>1504.765347783321</v>
      </c>
      <c r="H193" s="27">
        <f t="shared" si="17"/>
        <v>5232612.0943018226</v>
      </c>
      <c r="I193" s="10"/>
    </row>
    <row r="194" spans="2:9" x14ac:dyDescent="0.25">
      <c r="B194" s="38"/>
      <c r="C194" s="23">
        <f t="shared" si="12"/>
        <v>187</v>
      </c>
      <c r="D194" s="28">
        <f t="shared" si="13"/>
        <v>47377</v>
      </c>
      <c r="E194" s="29">
        <f t="shared" si="14"/>
        <v>1451483.6047458616</v>
      </c>
      <c r="F194" s="30">
        <f t="shared" si="15"/>
        <v>26654.185297600721</v>
      </c>
      <c r="G194" s="30">
        <f t="shared" si="16"/>
        <v>1478.1377900434602</v>
      </c>
      <c r="H194" s="31">
        <f t="shared" si="17"/>
        <v>5260744.4173894674</v>
      </c>
      <c r="I194" s="10"/>
    </row>
    <row r="195" spans="2:9" x14ac:dyDescent="0.25">
      <c r="B195" s="38"/>
      <c r="C195" s="23">
        <f t="shared" si="12"/>
        <v>188</v>
      </c>
      <c r="D195" s="24">
        <f t="shared" si="13"/>
        <v>47407</v>
      </c>
      <c r="E195" s="25">
        <f t="shared" si="14"/>
        <v>1424802.7652629633</v>
      </c>
      <c r="F195" s="26">
        <f t="shared" si="15"/>
        <v>26680.839482898322</v>
      </c>
      <c r="G195" s="26">
        <f t="shared" si="16"/>
        <v>1451.4836047458596</v>
      </c>
      <c r="H195" s="27">
        <f t="shared" si="17"/>
        <v>5288876.7404771112</v>
      </c>
      <c r="I195" s="10"/>
    </row>
    <row r="196" spans="2:9" x14ac:dyDescent="0.25">
      <c r="B196" s="38"/>
      <c r="C196" s="23">
        <f t="shared" si="12"/>
        <v>189</v>
      </c>
      <c r="D196" s="28">
        <f t="shared" si="13"/>
        <v>47438</v>
      </c>
      <c r="E196" s="29">
        <f t="shared" si="14"/>
        <v>1398095.244940582</v>
      </c>
      <c r="F196" s="30">
        <f t="shared" si="15"/>
        <v>26707.52032238122</v>
      </c>
      <c r="G196" s="30">
        <f t="shared" si="16"/>
        <v>1424.8027652629612</v>
      </c>
      <c r="H196" s="31">
        <f t="shared" si="17"/>
        <v>5317009.063564756</v>
      </c>
      <c r="I196" s="10"/>
    </row>
    <row r="197" spans="2:9" x14ac:dyDescent="0.25">
      <c r="B197" s="38"/>
      <c r="C197" s="23">
        <f t="shared" si="12"/>
        <v>190</v>
      </c>
      <c r="D197" s="24">
        <f t="shared" si="13"/>
        <v>47468</v>
      </c>
      <c r="E197" s="25">
        <f t="shared" si="14"/>
        <v>1371361.0170978783</v>
      </c>
      <c r="F197" s="26">
        <f t="shared" si="15"/>
        <v>26734.227842703604</v>
      </c>
      <c r="G197" s="26">
        <f t="shared" si="16"/>
        <v>1398.0952449405797</v>
      </c>
      <c r="H197" s="27">
        <f t="shared" si="17"/>
        <v>5345141.3866523998</v>
      </c>
      <c r="I197" s="10"/>
    </row>
    <row r="198" spans="2:9" x14ac:dyDescent="0.25">
      <c r="B198" s="38"/>
      <c r="C198" s="23">
        <f t="shared" si="12"/>
        <v>191</v>
      </c>
      <c r="D198" s="28">
        <f t="shared" si="13"/>
        <v>47499</v>
      </c>
      <c r="E198" s="29">
        <f t="shared" si="14"/>
        <v>1344600.0550273319</v>
      </c>
      <c r="F198" s="30">
        <f t="shared" si="15"/>
        <v>26760.962070546306</v>
      </c>
      <c r="G198" s="30">
        <f t="shared" si="16"/>
        <v>1371.3610170978761</v>
      </c>
      <c r="H198" s="31">
        <f t="shared" si="17"/>
        <v>5373273.7097400436</v>
      </c>
      <c r="I198" s="10"/>
    </row>
    <row r="199" spans="2:9" ht="16.5" thickBot="1" x14ac:dyDescent="0.3">
      <c r="B199" s="39"/>
      <c r="C199" s="32">
        <f t="shared" si="12"/>
        <v>192</v>
      </c>
      <c r="D199" s="33">
        <f t="shared" si="13"/>
        <v>47530</v>
      </c>
      <c r="E199" s="34">
        <f t="shared" si="14"/>
        <v>1317812.3319947151</v>
      </c>
      <c r="F199" s="35">
        <f t="shared" si="15"/>
        <v>26787.723032616854</v>
      </c>
      <c r="G199" s="35">
        <f t="shared" si="16"/>
        <v>1344.6000550273297</v>
      </c>
      <c r="H199" s="36">
        <f t="shared" si="17"/>
        <v>5401406.0328276884</v>
      </c>
      <c r="I199" s="10"/>
    </row>
    <row r="200" spans="2:9" ht="16.5" thickTop="1" x14ac:dyDescent="0.25">
      <c r="B200" s="37" t="s">
        <v>18</v>
      </c>
      <c r="C200" s="19">
        <f t="shared" si="12"/>
        <v>193</v>
      </c>
      <c r="D200" s="28">
        <f t="shared" si="13"/>
        <v>47558</v>
      </c>
      <c r="E200" s="29">
        <f t="shared" si="14"/>
        <v>1290997.8212390656</v>
      </c>
      <c r="F200" s="30">
        <f t="shared" si="15"/>
        <v>26814.51075564947</v>
      </c>
      <c r="G200" s="30">
        <f t="shared" si="16"/>
        <v>1317.8123319947131</v>
      </c>
      <c r="H200" s="31">
        <f t="shared" si="17"/>
        <v>5429538.3559153331</v>
      </c>
      <c r="I200" s="10"/>
    </row>
    <row r="201" spans="2:9" x14ac:dyDescent="0.25">
      <c r="B201" s="38"/>
      <c r="C201" s="23">
        <f t="shared" ref="C201:C264" si="18">IF(C200&lt;$F$6,C200+1,"")</f>
        <v>194</v>
      </c>
      <c r="D201" s="24">
        <f t="shared" si="13"/>
        <v>47589</v>
      </c>
      <c r="E201" s="25">
        <f t="shared" si="14"/>
        <v>1264156.4959726606</v>
      </c>
      <c r="F201" s="26">
        <f t="shared" si="15"/>
        <v>26841.325266405122</v>
      </c>
      <c r="G201" s="26">
        <f t="shared" si="16"/>
        <v>1290.9978212390638</v>
      </c>
      <c r="H201" s="27">
        <f t="shared" si="17"/>
        <v>5457670.679002977</v>
      </c>
      <c r="I201" s="10"/>
    </row>
    <row r="202" spans="2:9" x14ac:dyDescent="0.25">
      <c r="B202" s="38"/>
      <c r="C202" s="23">
        <f t="shared" si="18"/>
        <v>195</v>
      </c>
      <c r="D202" s="28">
        <f t="shared" ref="D202:D265" si="19">IF(C202="","",DATE(YEAR(D201),MONTH(D201)+1,DAY(D201)))</f>
        <v>47619</v>
      </c>
      <c r="E202" s="29">
        <f t="shared" ref="E202:E265" si="20">IF(C202="","",E201-F202)</f>
        <v>1237288.3293809891</v>
      </c>
      <c r="F202" s="30">
        <f t="shared" ref="F202:F265" si="21">IF(C202="","",-PPMT($F$5/12,C202,$F$4*12,$D$5))</f>
        <v>26868.166591671525</v>
      </c>
      <c r="G202" s="30">
        <f t="shared" ref="G202:G265" si="22">IF(C202="","",-IPMT($F$5/12,C202,$F$4*12,$D$5))</f>
        <v>1264.1564959726586</v>
      </c>
      <c r="H202" s="31">
        <f t="shared" ref="H202:H265" si="23">IF(C202="","",H201+F202+G202)</f>
        <v>5485803.0020906208</v>
      </c>
      <c r="I202" s="10"/>
    </row>
    <row r="203" spans="2:9" x14ac:dyDescent="0.25">
      <c r="B203" s="38"/>
      <c r="C203" s="23">
        <f t="shared" si="18"/>
        <v>196</v>
      </c>
      <c r="D203" s="24">
        <f t="shared" si="19"/>
        <v>47650</v>
      </c>
      <c r="E203" s="25">
        <f t="shared" si="20"/>
        <v>1210393.2946227258</v>
      </c>
      <c r="F203" s="26">
        <f t="shared" si="21"/>
        <v>26895.034758263198</v>
      </c>
      <c r="G203" s="26">
        <f t="shared" si="22"/>
        <v>1237.2883293809869</v>
      </c>
      <c r="H203" s="27">
        <f t="shared" si="23"/>
        <v>5513935.3251782646</v>
      </c>
      <c r="I203" s="10"/>
    </row>
    <row r="204" spans="2:9" x14ac:dyDescent="0.25">
      <c r="B204" s="38"/>
      <c r="C204" s="23">
        <f t="shared" si="18"/>
        <v>197</v>
      </c>
      <c r="D204" s="28">
        <f t="shared" si="19"/>
        <v>47680</v>
      </c>
      <c r="E204" s="29">
        <f t="shared" si="20"/>
        <v>1183471.3648297044</v>
      </c>
      <c r="F204" s="30">
        <f t="shared" si="21"/>
        <v>26921.92979302146</v>
      </c>
      <c r="G204" s="30">
        <f t="shared" si="22"/>
        <v>1210.3932946227237</v>
      </c>
      <c r="H204" s="31">
        <f t="shared" si="23"/>
        <v>5542067.6482659094</v>
      </c>
      <c r="I204" s="10"/>
    </row>
    <row r="205" spans="2:9" x14ac:dyDescent="0.25">
      <c r="B205" s="38"/>
      <c r="C205" s="23">
        <f t="shared" si="18"/>
        <v>198</v>
      </c>
      <c r="D205" s="24">
        <f t="shared" si="19"/>
        <v>47711</v>
      </c>
      <c r="E205" s="25">
        <f t="shared" si="20"/>
        <v>1156522.51310689</v>
      </c>
      <c r="F205" s="26">
        <f t="shared" si="21"/>
        <v>26948.851722814481</v>
      </c>
      <c r="G205" s="26">
        <f t="shared" si="22"/>
        <v>1183.4713648297022</v>
      </c>
      <c r="H205" s="27">
        <f t="shared" si="23"/>
        <v>5570199.9713535532</v>
      </c>
      <c r="I205" s="10"/>
    </row>
    <row r="206" spans="2:9" x14ac:dyDescent="0.25">
      <c r="B206" s="38"/>
      <c r="C206" s="23">
        <f t="shared" si="18"/>
        <v>199</v>
      </c>
      <c r="D206" s="28">
        <f t="shared" si="19"/>
        <v>47742</v>
      </c>
      <c r="E206" s="29">
        <f t="shared" si="20"/>
        <v>1129546.7125323527</v>
      </c>
      <c r="F206" s="30">
        <f t="shared" si="21"/>
        <v>26975.800574537294</v>
      </c>
      <c r="G206" s="30">
        <f t="shared" si="22"/>
        <v>1156.5225131068878</v>
      </c>
      <c r="H206" s="31">
        <f t="shared" si="23"/>
        <v>5598332.2944411971</v>
      </c>
      <c r="I206" s="10"/>
    </row>
    <row r="207" spans="2:9" x14ac:dyDescent="0.25">
      <c r="B207" s="38"/>
      <c r="C207" s="23">
        <f t="shared" si="18"/>
        <v>200</v>
      </c>
      <c r="D207" s="24">
        <f t="shared" si="19"/>
        <v>47772</v>
      </c>
      <c r="E207" s="25">
        <f t="shared" si="20"/>
        <v>1102543.9361572408</v>
      </c>
      <c r="F207" s="26">
        <f t="shared" si="21"/>
        <v>27002.776375111829</v>
      </c>
      <c r="G207" s="26">
        <f t="shared" si="22"/>
        <v>1129.5467125323503</v>
      </c>
      <c r="H207" s="27">
        <f t="shared" si="23"/>
        <v>5626464.6175288418</v>
      </c>
      <c r="I207" s="10"/>
    </row>
    <row r="208" spans="2:9" x14ac:dyDescent="0.25">
      <c r="B208" s="38"/>
      <c r="C208" s="23">
        <f t="shared" si="18"/>
        <v>201</v>
      </c>
      <c r="D208" s="28">
        <f t="shared" si="19"/>
        <v>47803</v>
      </c>
      <c r="E208" s="29">
        <f t="shared" si="20"/>
        <v>1075514.1570057538</v>
      </c>
      <c r="F208" s="30">
        <f t="shared" si="21"/>
        <v>27029.779151486946</v>
      </c>
      <c r="G208" s="30">
        <f t="shared" si="22"/>
        <v>1102.5439361572387</v>
      </c>
      <c r="H208" s="31">
        <f t="shared" si="23"/>
        <v>5654596.9406164866</v>
      </c>
      <c r="I208" s="10"/>
    </row>
    <row r="209" spans="2:9" x14ac:dyDescent="0.25">
      <c r="B209" s="38"/>
      <c r="C209" s="23">
        <f t="shared" si="18"/>
        <v>202</v>
      </c>
      <c r="D209" s="24">
        <f t="shared" si="19"/>
        <v>47833</v>
      </c>
      <c r="E209" s="25">
        <f t="shared" si="20"/>
        <v>1048457.3480751154</v>
      </c>
      <c r="F209" s="26">
        <f t="shared" si="21"/>
        <v>27056.808930638428</v>
      </c>
      <c r="G209" s="26">
        <f t="shared" si="22"/>
        <v>1075.5141570057515</v>
      </c>
      <c r="H209" s="27">
        <f t="shared" si="23"/>
        <v>5682729.2637041304</v>
      </c>
      <c r="I209" s="10"/>
    </row>
    <row r="210" spans="2:9" x14ac:dyDescent="0.25">
      <c r="B210" s="38"/>
      <c r="C210" s="23">
        <f t="shared" si="18"/>
        <v>203</v>
      </c>
      <c r="D210" s="28">
        <f t="shared" si="19"/>
        <v>47864</v>
      </c>
      <c r="E210" s="29">
        <f t="shared" si="20"/>
        <v>1021373.4823355463</v>
      </c>
      <c r="F210" s="30">
        <f t="shared" si="21"/>
        <v>27083.865739569072</v>
      </c>
      <c r="G210" s="30">
        <f t="shared" si="22"/>
        <v>1048.4573480751133</v>
      </c>
      <c r="H210" s="31">
        <f t="shared" si="23"/>
        <v>5710861.5867917743</v>
      </c>
      <c r="I210" s="10"/>
    </row>
    <row r="211" spans="2:9" ht="16.5" thickBot="1" x14ac:dyDescent="0.3">
      <c r="B211" s="39"/>
      <c r="C211" s="32">
        <f t="shared" si="18"/>
        <v>204</v>
      </c>
      <c r="D211" s="33">
        <f t="shared" si="19"/>
        <v>47895</v>
      </c>
      <c r="E211" s="34">
        <f t="shared" si="20"/>
        <v>994262.5327302377</v>
      </c>
      <c r="F211" s="35">
        <f t="shared" si="21"/>
        <v>27110.949605308637</v>
      </c>
      <c r="G211" s="35">
        <f t="shared" si="22"/>
        <v>1021.3734823355441</v>
      </c>
      <c r="H211" s="36">
        <f t="shared" si="23"/>
        <v>5738993.9098794181</v>
      </c>
      <c r="I211" s="10"/>
    </row>
    <row r="212" spans="2:9" ht="16.5" thickTop="1" x14ac:dyDescent="0.25">
      <c r="B212" s="37" t="s">
        <v>19</v>
      </c>
      <c r="C212" s="19">
        <f t="shared" si="18"/>
        <v>205</v>
      </c>
      <c r="D212" s="28">
        <f t="shared" si="19"/>
        <v>47923</v>
      </c>
      <c r="E212" s="29">
        <f t="shared" si="20"/>
        <v>967124.47217532375</v>
      </c>
      <c r="F212" s="30">
        <f t="shared" si="21"/>
        <v>27138.060554913951</v>
      </c>
      <c r="G212" s="30">
        <f t="shared" si="22"/>
        <v>994.26253273023553</v>
      </c>
      <c r="H212" s="31">
        <f t="shared" si="23"/>
        <v>5767126.2329670629</v>
      </c>
      <c r="I212" s="10"/>
    </row>
    <row r="213" spans="2:9" x14ac:dyDescent="0.25">
      <c r="B213" s="38"/>
      <c r="C213" s="23">
        <f t="shared" si="18"/>
        <v>206</v>
      </c>
      <c r="D213" s="24">
        <f t="shared" si="19"/>
        <v>47954</v>
      </c>
      <c r="E213" s="25">
        <f t="shared" si="20"/>
        <v>939959.27355985495</v>
      </c>
      <c r="F213" s="26">
        <f t="shared" si="21"/>
        <v>27165.19861546886</v>
      </c>
      <c r="G213" s="26">
        <f t="shared" si="22"/>
        <v>967.12447217532156</v>
      </c>
      <c r="H213" s="27">
        <f t="shared" si="23"/>
        <v>5795258.5560547076</v>
      </c>
      <c r="I213" s="10"/>
    </row>
    <row r="214" spans="2:9" x14ac:dyDescent="0.25">
      <c r="B214" s="38"/>
      <c r="C214" s="23">
        <f t="shared" si="18"/>
        <v>207</v>
      </c>
      <c r="D214" s="28">
        <f t="shared" si="19"/>
        <v>47984</v>
      </c>
      <c r="E214" s="29">
        <f t="shared" si="20"/>
        <v>912766.90974577062</v>
      </c>
      <c r="F214" s="30">
        <f t="shared" si="21"/>
        <v>27192.363814084329</v>
      </c>
      <c r="G214" s="30">
        <f t="shared" si="22"/>
        <v>939.95927355985305</v>
      </c>
      <c r="H214" s="31">
        <f t="shared" si="23"/>
        <v>5823390.8791423524</v>
      </c>
      <c r="I214" s="10"/>
    </row>
    <row r="215" spans="2:9" x14ac:dyDescent="0.25">
      <c r="B215" s="38"/>
      <c r="C215" s="23">
        <f t="shared" si="18"/>
        <v>208</v>
      </c>
      <c r="D215" s="24">
        <f t="shared" si="19"/>
        <v>48015</v>
      </c>
      <c r="E215" s="25">
        <f t="shared" si="20"/>
        <v>885547.3535678722</v>
      </c>
      <c r="F215" s="26">
        <f t="shared" si="21"/>
        <v>27219.556177898416</v>
      </c>
      <c r="G215" s="26">
        <f t="shared" si="22"/>
        <v>912.76690974576843</v>
      </c>
      <c r="H215" s="27">
        <f t="shared" si="23"/>
        <v>5851523.2022299962</v>
      </c>
      <c r="I215" s="10"/>
    </row>
    <row r="216" spans="2:9" x14ac:dyDescent="0.25">
      <c r="B216" s="38"/>
      <c r="C216" s="23">
        <f t="shared" si="18"/>
        <v>209</v>
      </c>
      <c r="D216" s="28">
        <f t="shared" si="19"/>
        <v>48045</v>
      </c>
      <c r="E216" s="29">
        <f t="shared" si="20"/>
        <v>858300.57783379592</v>
      </c>
      <c r="F216" s="30">
        <f t="shared" si="21"/>
        <v>27246.775734076313</v>
      </c>
      <c r="G216" s="30">
        <f t="shared" si="22"/>
        <v>885.54735356787012</v>
      </c>
      <c r="H216" s="31">
        <f t="shared" si="23"/>
        <v>5879655.52531764</v>
      </c>
      <c r="I216" s="10"/>
    </row>
    <row r="217" spans="2:9" x14ac:dyDescent="0.25">
      <c r="B217" s="38"/>
      <c r="C217" s="23">
        <f t="shared" si="18"/>
        <v>210</v>
      </c>
      <c r="D217" s="24">
        <f t="shared" si="19"/>
        <v>48076</v>
      </c>
      <c r="E217" s="25">
        <f t="shared" si="20"/>
        <v>831026.55532398552</v>
      </c>
      <c r="F217" s="26">
        <f t="shared" si="21"/>
        <v>27274.022509810387</v>
      </c>
      <c r="G217" s="26">
        <f t="shared" si="22"/>
        <v>858.30057783379357</v>
      </c>
      <c r="H217" s="27">
        <f t="shared" si="23"/>
        <v>5907787.8484052848</v>
      </c>
      <c r="I217" s="10"/>
    </row>
    <row r="218" spans="2:9" x14ac:dyDescent="0.25">
      <c r="B218" s="38"/>
      <c r="C218" s="23">
        <f t="shared" si="18"/>
        <v>211</v>
      </c>
      <c r="D218" s="28">
        <f t="shared" si="19"/>
        <v>48107</v>
      </c>
      <c r="E218" s="29">
        <f t="shared" si="20"/>
        <v>803725.25879166531</v>
      </c>
      <c r="F218" s="30">
        <f t="shared" si="21"/>
        <v>27301.296532320201</v>
      </c>
      <c r="G218" s="30">
        <f t="shared" si="22"/>
        <v>831.02655532398319</v>
      </c>
      <c r="H218" s="31">
        <f t="shared" si="23"/>
        <v>5935920.1714929286</v>
      </c>
      <c r="I218" s="10"/>
    </row>
    <row r="219" spans="2:9" x14ac:dyDescent="0.25">
      <c r="B219" s="38"/>
      <c r="C219" s="23">
        <f t="shared" si="18"/>
        <v>212</v>
      </c>
      <c r="D219" s="24">
        <f t="shared" si="19"/>
        <v>48137</v>
      </c>
      <c r="E219" s="25">
        <f t="shared" si="20"/>
        <v>776396.66096281284</v>
      </c>
      <c r="F219" s="26">
        <f t="shared" si="21"/>
        <v>27328.597828852518</v>
      </c>
      <c r="G219" s="26">
        <f t="shared" si="22"/>
        <v>803.72525879166301</v>
      </c>
      <c r="H219" s="27">
        <f t="shared" si="23"/>
        <v>5964052.4945805734</v>
      </c>
      <c r="I219" s="10"/>
    </row>
    <row r="220" spans="2:9" x14ac:dyDescent="0.25">
      <c r="B220" s="38"/>
      <c r="C220" s="23">
        <f t="shared" si="18"/>
        <v>213</v>
      </c>
      <c r="D220" s="28">
        <f t="shared" si="19"/>
        <v>48168</v>
      </c>
      <c r="E220" s="29">
        <f t="shared" si="20"/>
        <v>749040.73453613149</v>
      </c>
      <c r="F220" s="30">
        <f t="shared" si="21"/>
        <v>27355.92642668137</v>
      </c>
      <c r="G220" s="30">
        <f t="shared" si="22"/>
        <v>776.39666096281053</v>
      </c>
      <c r="H220" s="31">
        <f t="shared" si="23"/>
        <v>5992184.8176682182</v>
      </c>
      <c r="I220" s="10"/>
    </row>
    <row r="221" spans="2:9" x14ac:dyDescent="0.25">
      <c r="B221" s="38"/>
      <c r="C221" s="23">
        <f t="shared" si="18"/>
        <v>214</v>
      </c>
      <c r="D221" s="24">
        <f t="shared" si="19"/>
        <v>48198</v>
      </c>
      <c r="E221" s="25">
        <f t="shared" si="20"/>
        <v>721657.45218302344</v>
      </c>
      <c r="F221" s="26">
        <f t="shared" si="21"/>
        <v>27383.282353108054</v>
      </c>
      <c r="G221" s="26">
        <f t="shared" si="22"/>
        <v>749.04073453612921</v>
      </c>
      <c r="H221" s="27">
        <f t="shared" si="23"/>
        <v>6020317.140755862</v>
      </c>
      <c r="I221" s="10"/>
    </row>
    <row r="222" spans="2:9" x14ac:dyDescent="0.25">
      <c r="B222" s="38"/>
      <c r="C222" s="23">
        <f t="shared" si="18"/>
        <v>215</v>
      </c>
      <c r="D222" s="28">
        <f t="shared" si="19"/>
        <v>48229</v>
      </c>
      <c r="E222" s="29">
        <f t="shared" si="20"/>
        <v>694246.78654756234</v>
      </c>
      <c r="F222" s="30">
        <f t="shared" si="21"/>
        <v>27410.665635461162</v>
      </c>
      <c r="G222" s="30">
        <f t="shared" si="22"/>
        <v>721.65745218302118</v>
      </c>
      <c r="H222" s="31">
        <f t="shared" si="23"/>
        <v>6048449.4638435058</v>
      </c>
      <c r="I222" s="10"/>
    </row>
    <row r="223" spans="2:9" ht="16.5" thickBot="1" x14ac:dyDescent="0.3">
      <c r="B223" s="39"/>
      <c r="C223" s="32">
        <f t="shared" si="18"/>
        <v>216</v>
      </c>
      <c r="D223" s="33">
        <f t="shared" si="19"/>
        <v>48260</v>
      </c>
      <c r="E223" s="34">
        <f t="shared" si="20"/>
        <v>666808.71024646575</v>
      </c>
      <c r="F223" s="35">
        <f t="shared" si="21"/>
        <v>27438.076301096622</v>
      </c>
      <c r="G223" s="35">
        <f t="shared" si="22"/>
        <v>694.24678654755996</v>
      </c>
      <c r="H223" s="36">
        <f t="shared" si="23"/>
        <v>6076581.7869311506</v>
      </c>
      <c r="I223" s="10"/>
    </row>
    <row r="224" spans="2:9" ht="16.5" thickTop="1" x14ac:dyDescent="0.25">
      <c r="B224" s="37" t="s">
        <v>20</v>
      </c>
      <c r="C224" s="19">
        <f t="shared" si="18"/>
        <v>217</v>
      </c>
      <c r="D224" s="28">
        <f t="shared" si="19"/>
        <v>48289</v>
      </c>
      <c r="E224" s="29">
        <f t="shared" si="20"/>
        <v>639343.19586906803</v>
      </c>
      <c r="F224" s="30">
        <f t="shared" si="21"/>
        <v>27465.514377397722</v>
      </c>
      <c r="G224" s="30">
        <f t="shared" si="22"/>
        <v>666.80871024646319</v>
      </c>
      <c r="H224" s="31">
        <f t="shared" si="23"/>
        <v>6104714.1100187944</v>
      </c>
      <c r="I224" s="10"/>
    </row>
    <row r="225" spans="2:9" x14ac:dyDescent="0.25">
      <c r="B225" s="38"/>
      <c r="C225" s="23">
        <f t="shared" si="18"/>
        <v>218</v>
      </c>
      <c r="D225" s="24">
        <f t="shared" si="19"/>
        <v>48320</v>
      </c>
      <c r="E225" s="25">
        <f t="shared" si="20"/>
        <v>611850.21597729297</v>
      </c>
      <c r="F225" s="26">
        <f t="shared" si="21"/>
        <v>27492.979891775118</v>
      </c>
      <c r="G225" s="26">
        <f t="shared" si="22"/>
        <v>639.34319586906565</v>
      </c>
      <c r="H225" s="27">
        <f t="shared" si="23"/>
        <v>6132846.4331064383</v>
      </c>
      <c r="I225" s="10"/>
    </row>
    <row r="226" spans="2:9" x14ac:dyDescent="0.25">
      <c r="B226" s="38"/>
      <c r="C226" s="23">
        <f t="shared" si="18"/>
        <v>219</v>
      </c>
      <c r="D226" s="28">
        <f t="shared" si="19"/>
        <v>48350</v>
      </c>
      <c r="E226" s="29">
        <f t="shared" si="20"/>
        <v>584329.74310562608</v>
      </c>
      <c r="F226" s="30">
        <f t="shared" si="21"/>
        <v>27520.472871666894</v>
      </c>
      <c r="G226" s="30">
        <f t="shared" si="22"/>
        <v>611.85021597729053</v>
      </c>
      <c r="H226" s="31">
        <f t="shared" si="23"/>
        <v>6160978.7561940821</v>
      </c>
      <c r="I226" s="10"/>
    </row>
    <row r="227" spans="2:9" x14ac:dyDescent="0.25">
      <c r="B227" s="38"/>
      <c r="C227" s="23">
        <f t="shared" si="18"/>
        <v>220</v>
      </c>
      <c r="D227" s="24">
        <f t="shared" si="19"/>
        <v>48381</v>
      </c>
      <c r="E227" s="25">
        <f t="shared" si="20"/>
        <v>556781.74976108747</v>
      </c>
      <c r="F227" s="26">
        <f t="shared" si="21"/>
        <v>27547.993344538558</v>
      </c>
      <c r="G227" s="26">
        <f t="shared" si="22"/>
        <v>584.32974310562349</v>
      </c>
      <c r="H227" s="27">
        <f t="shared" si="23"/>
        <v>6189111.0792817269</v>
      </c>
      <c r="I227" s="10"/>
    </row>
    <row r="228" spans="2:9" x14ac:dyDescent="0.25">
      <c r="B228" s="38"/>
      <c r="C228" s="23">
        <f t="shared" si="18"/>
        <v>221</v>
      </c>
      <c r="D228" s="28">
        <f t="shared" si="19"/>
        <v>48411</v>
      </c>
      <c r="E228" s="29">
        <f t="shared" si="20"/>
        <v>529206.20842320437</v>
      </c>
      <c r="F228" s="30">
        <f t="shared" si="21"/>
        <v>27575.541337883096</v>
      </c>
      <c r="G228" s="30">
        <f t="shared" si="22"/>
        <v>556.78174976108505</v>
      </c>
      <c r="H228" s="31">
        <f t="shared" si="23"/>
        <v>6217243.4023693707</v>
      </c>
      <c r="I228" s="10"/>
    </row>
    <row r="229" spans="2:9" x14ac:dyDescent="0.25">
      <c r="B229" s="38"/>
      <c r="C229" s="23">
        <f t="shared" si="18"/>
        <v>222</v>
      </c>
      <c r="D229" s="24">
        <f t="shared" si="19"/>
        <v>48442</v>
      </c>
      <c r="E229" s="25">
        <f t="shared" si="20"/>
        <v>501603.09154398338</v>
      </c>
      <c r="F229" s="26">
        <f t="shared" si="21"/>
        <v>27603.116879220979</v>
      </c>
      <c r="G229" s="26">
        <f t="shared" si="22"/>
        <v>529.20620842320182</v>
      </c>
      <c r="H229" s="27">
        <f t="shared" si="23"/>
        <v>6245375.7254570145</v>
      </c>
      <c r="I229" s="10"/>
    </row>
    <row r="230" spans="2:9" x14ac:dyDescent="0.25">
      <c r="B230" s="38"/>
      <c r="C230" s="23">
        <f t="shared" si="18"/>
        <v>223</v>
      </c>
      <c r="D230" s="28">
        <f t="shared" si="19"/>
        <v>48473</v>
      </c>
      <c r="E230" s="29">
        <f t="shared" si="20"/>
        <v>473972.37154788314</v>
      </c>
      <c r="F230" s="30">
        <f t="shared" si="21"/>
        <v>27630.719996100204</v>
      </c>
      <c r="G230" s="30">
        <f t="shared" si="22"/>
        <v>501.60309154398095</v>
      </c>
      <c r="H230" s="31">
        <f t="shared" si="23"/>
        <v>6273508.0485446583</v>
      </c>
      <c r="I230" s="10"/>
    </row>
    <row r="231" spans="2:9" x14ac:dyDescent="0.25">
      <c r="B231" s="38"/>
      <c r="C231" s="23">
        <f t="shared" si="18"/>
        <v>224</v>
      </c>
      <c r="D231" s="24">
        <f t="shared" si="19"/>
        <v>48503</v>
      </c>
      <c r="E231" s="25">
        <f t="shared" si="20"/>
        <v>446314.02083178685</v>
      </c>
      <c r="F231" s="26">
        <f t="shared" si="21"/>
        <v>27658.350716096302</v>
      </c>
      <c r="G231" s="26">
        <f t="shared" si="22"/>
        <v>473.9723715478807</v>
      </c>
      <c r="H231" s="27">
        <f t="shared" si="23"/>
        <v>6301640.3716323022</v>
      </c>
      <c r="I231" s="10"/>
    </row>
    <row r="232" spans="2:9" x14ac:dyDescent="0.25">
      <c r="B232" s="38"/>
      <c r="C232" s="23">
        <f t="shared" si="18"/>
        <v>225</v>
      </c>
      <c r="D232" s="28">
        <f t="shared" si="19"/>
        <v>48534</v>
      </c>
      <c r="E232" s="29">
        <f t="shared" si="20"/>
        <v>418628.01176497445</v>
      </c>
      <c r="F232" s="30">
        <f t="shared" si="21"/>
        <v>27686.009066812399</v>
      </c>
      <c r="G232" s="30">
        <f t="shared" si="22"/>
        <v>446.31402083178438</v>
      </c>
      <c r="H232" s="31">
        <f t="shared" si="23"/>
        <v>6329772.6947199469</v>
      </c>
      <c r="I232" s="10"/>
    </row>
    <row r="233" spans="2:9" x14ac:dyDescent="0.25">
      <c r="B233" s="38"/>
      <c r="C233" s="23">
        <f t="shared" si="18"/>
        <v>226</v>
      </c>
      <c r="D233" s="24">
        <f t="shared" si="19"/>
        <v>48564</v>
      </c>
      <c r="E233" s="25">
        <f t="shared" si="20"/>
        <v>390914.31668909523</v>
      </c>
      <c r="F233" s="26">
        <f t="shared" si="21"/>
        <v>27713.695075879208</v>
      </c>
      <c r="G233" s="26">
        <f t="shared" si="22"/>
        <v>418.62801176497197</v>
      </c>
      <c r="H233" s="27">
        <f t="shared" si="23"/>
        <v>6357905.0178075908</v>
      </c>
      <c r="I233" s="10"/>
    </row>
    <row r="234" spans="2:9" x14ac:dyDescent="0.25">
      <c r="B234" s="38"/>
      <c r="C234" s="23">
        <f t="shared" si="18"/>
        <v>227</v>
      </c>
      <c r="D234" s="28">
        <f t="shared" si="19"/>
        <v>48595</v>
      </c>
      <c r="E234" s="29">
        <f t="shared" si="20"/>
        <v>363172.90791814012</v>
      </c>
      <c r="F234" s="30">
        <f t="shared" si="21"/>
        <v>27741.408770955091</v>
      </c>
      <c r="G234" s="30">
        <f t="shared" si="22"/>
        <v>390.91431668909274</v>
      </c>
      <c r="H234" s="31">
        <f t="shared" si="23"/>
        <v>6386037.3408952346</v>
      </c>
      <c r="I234" s="10"/>
    </row>
    <row r="235" spans="2:9" ht="16.5" thickBot="1" x14ac:dyDescent="0.3">
      <c r="B235" s="39"/>
      <c r="C235" s="32">
        <f t="shared" si="18"/>
        <v>228</v>
      </c>
      <c r="D235" s="33">
        <f t="shared" si="19"/>
        <v>48626</v>
      </c>
      <c r="E235" s="34">
        <f t="shared" si="20"/>
        <v>335403.7577384141</v>
      </c>
      <c r="F235" s="35">
        <f t="shared" si="21"/>
        <v>27769.150179726043</v>
      </c>
      <c r="G235" s="35">
        <f t="shared" si="22"/>
        <v>363.17290791813764</v>
      </c>
      <c r="H235" s="36">
        <f t="shared" si="23"/>
        <v>6414169.6639828784</v>
      </c>
      <c r="I235" s="10"/>
    </row>
    <row r="236" spans="2:9" ht="16.5" thickTop="1" x14ac:dyDescent="0.25">
      <c r="B236" s="41" t="s">
        <v>21</v>
      </c>
      <c r="C236" s="19">
        <f t="shared" si="18"/>
        <v>229</v>
      </c>
      <c r="D236" s="28">
        <f t="shared" si="19"/>
        <v>48654</v>
      </c>
      <c r="E236" s="29">
        <f t="shared" si="20"/>
        <v>307606.83840850834</v>
      </c>
      <c r="F236" s="30">
        <f t="shared" si="21"/>
        <v>27796.91932990577</v>
      </c>
      <c r="G236" s="30">
        <f t="shared" si="22"/>
        <v>335.40375773841163</v>
      </c>
      <c r="H236" s="31">
        <f t="shared" si="23"/>
        <v>6442301.9870705223</v>
      </c>
      <c r="I236" s="10"/>
    </row>
    <row r="237" spans="2:9" x14ac:dyDescent="0.25">
      <c r="B237" s="38"/>
      <c r="C237" s="23">
        <f t="shared" si="18"/>
        <v>230</v>
      </c>
      <c r="D237" s="24">
        <f t="shared" si="19"/>
        <v>48685</v>
      </c>
      <c r="E237" s="25">
        <f t="shared" si="20"/>
        <v>279782.12215927267</v>
      </c>
      <c r="F237" s="26">
        <f t="shared" si="21"/>
        <v>27824.716249235677</v>
      </c>
      <c r="G237" s="26">
        <f t="shared" si="22"/>
        <v>307.60683840850584</v>
      </c>
      <c r="H237" s="27">
        <f t="shared" si="23"/>
        <v>6470434.310158167</v>
      </c>
      <c r="I237" s="10"/>
    </row>
    <row r="238" spans="2:9" x14ac:dyDescent="0.25">
      <c r="B238" s="38"/>
      <c r="C238" s="23">
        <f t="shared" si="18"/>
        <v>231</v>
      </c>
      <c r="D238" s="28">
        <f t="shared" si="19"/>
        <v>48715</v>
      </c>
      <c r="E238" s="29">
        <f t="shared" si="20"/>
        <v>251929.58119378774</v>
      </c>
      <c r="F238" s="30">
        <f t="shared" si="21"/>
        <v>27852.540965484914</v>
      </c>
      <c r="G238" s="30">
        <f t="shared" si="22"/>
        <v>279.78212215927016</v>
      </c>
      <c r="H238" s="31">
        <f t="shared" si="23"/>
        <v>6498566.6332458109</v>
      </c>
      <c r="I238" s="10"/>
    </row>
    <row r="239" spans="2:9" x14ac:dyDescent="0.25">
      <c r="B239" s="38"/>
      <c r="C239" s="23">
        <f t="shared" si="18"/>
        <v>232</v>
      </c>
      <c r="D239" s="24">
        <f t="shared" si="19"/>
        <v>48746</v>
      </c>
      <c r="E239" s="25">
        <f t="shared" si="20"/>
        <v>224049.18768733734</v>
      </c>
      <c r="F239" s="26">
        <f t="shared" si="21"/>
        <v>27880.393506450397</v>
      </c>
      <c r="G239" s="26">
        <f t="shared" si="22"/>
        <v>251.92958119378525</v>
      </c>
      <c r="H239" s="27">
        <f t="shared" si="23"/>
        <v>6526698.9563334556</v>
      </c>
      <c r="I239" s="10"/>
    </row>
    <row r="240" spans="2:9" x14ac:dyDescent="0.25">
      <c r="B240" s="38"/>
      <c r="C240" s="23">
        <f t="shared" si="18"/>
        <v>233</v>
      </c>
      <c r="D240" s="28">
        <f t="shared" si="19"/>
        <v>48776</v>
      </c>
      <c r="E240" s="29">
        <f t="shared" si="20"/>
        <v>196140.9137873805</v>
      </c>
      <c r="F240" s="30">
        <f t="shared" si="21"/>
        <v>27908.27389995685</v>
      </c>
      <c r="G240" s="30">
        <f t="shared" si="22"/>
        <v>224.04918768733486</v>
      </c>
      <c r="H240" s="31">
        <f t="shared" si="23"/>
        <v>6554831.2794210995</v>
      </c>
      <c r="I240" s="10"/>
    </row>
    <row r="241" spans="2:9" x14ac:dyDescent="0.25">
      <c r="B241" s="38"/>
      <c r="C241" s="23">
        <f t="shared" si="18"/>
        <v>234</v>
      </c>
      <c r="D241" s="24">
        <f t="shared" si="19"/>
        <v>48807</v>
      </c>
      <c r="E241" s="25">
        <f t="shared" si="20"/>
        <v>168204.73161352371</v>
      </c>
      <c r="F241" s="26">
        <f t="shared" si="21"/>
        <v>27936.182173856803</v>
      </c>
      <c r="G241" s="26">
        <f t="shared" si="22"/>
        <v>196.140913787378</v>
      </c>
      <c r="H241" s="27">
        <f t="shared" si="23"/>
        <v>6582963.6025087433</v>
      </c>
      <c r="I241" s="10"/>
    </row>
    <row r="242" spans="2:9" x14ac:dyDescent="0.25">
      <c r="B242" s="38"/>
      <c r="C242" s="23">
        <f t="shared" si="18"/>
        <v>235</v>
      </c>
      <c r="D242" s="28">
        <f t="shared" si="19"/>
        <v>48838</v>
      </c>
      <c r="E242" s="29">
        <f t="shared" si="20"/>
        <v>140240.61325749304</v>
      </c>
      <c r="F242" s="30">
        <f t="shared" si="21"/>
        <v>27964.118356030664</v>
      </c>
      <c r="G242" s="30">
        <f t="shared" si="22"/>
        <v>168.20473161352118</v>
      </c>
      <c r="H242" s="31">
        <f t="shared" si="23"/>
        <v>6611095.9255963871</v>
      </c>
      <c r="I242" s="10"/>
    </row>
    <row r="243" spans="2:9" x14ac:dyDescent="0.25">
      <c r="B243" s="38"/>
      <c r="C243" s="23">
        <f t="shared" si="18"/>
        <v>236</v>
      </c>
      <c r="D243" s="24">
        <f t="shared" si="19"/>
        <v>48868</v>
      </c>
      <c r="E243" s="25">
        <f t="shared" si="20"/>
        <v>112248.53078310634</v>
      </c>
      <c r="F243" s="26">
        <f t="shared" si="21"/>
        <v>27992.082474386694</v>
      </c>
      <c r="G243" s="26">
        <f t="shared" si="22"/>
        <v>140.24061325749051</v>
      </c>
      <c r="H243" s="27">
        <f t="shared" si="23"/>
        <v>6639228.248684031</v>
      </c>
      <c r="I243" s="10"/>
    </row>
    <row r="244" spans="2:9" x14ac:dyDescent="0.25">
      <c r="B244" s="38"/>
      <c r="C244" s="23">
        <f t="shared" si="18"/>
        <v>237</v>
      </c>
      <c r="D244" s="28">
        <f t="shared" si="19"/>
        <v>48899</v>
      </c>
      <c r="E244" s="29">
        <f t="shared" si="20"/>
        <v>84228.456226245267</v>
      </c>
      <c r="F244" s="30">
        <f t="shared" si="21"/>
        <v>28020.07455686108</v>
      </c>
      <c r="G244" s="30">
        <f t="shared" si="22"/>
        <v>112.24853078310382</v>
      </c>
      <c r="H244" s="31">
        <f t="shared" si="23"/>
        <v>6667360.5717716748</v>
      </c>
      <c r="I244" s="10"/>
    </row>
    <row r="245" spans="2:9" x14ac:dyDescent="0.25">
      <c r="B245" s="38"/>
      <c r="C245" s="23">
        <f t="shared" si="18"/>
        <v>238</v>
      </c>
      <c r="D245" s="24">
        <f t="shared" si="19"/>
        <v>48929</v>
      </c>
      <c r="E245" s="25">
        <f t="shared" si="20"/>
        <v>56180.361594827329</v>
      </c>
      <c r="F245" s="26">
        <f t="shared" si="21"/>
        <v>28048.094631417938</v>
      </c>
      <c r="G245" s="26">
        <f t="shared" si="22"/>
        <v>84.228456226242727</v>
      </c>
      <c r="H245" s="27">
        <f t="shared" si="23"/>
        <v>6695492.8948593186</v>
      </c>
      <c r="I245" s="10"/>
    </row>
    <row r="246" spans="2:9" x14ac:dyDescent="0.25">
      <c r="B246" s="38"/>
      <c r="C246" s="23">
        <f t="shared" si="18"/>
        <v>239</v>
      </c>
      <c r="D246" s="28">
        <f t="shared" si="19"/>
        <v>48960</v>
      </c>
      <c r="E246" s="29">
        <f t="shared" si="20"/>
        <v>28104.218868777971</v>
      </c>
      <c r="F246" s="30">
        <f t="shared" si="21"/>
        <v>28076.142726049358</v>
      </c>
      <c r="G246" s="30">
        <f t="shared" si="22"/>
        <v>56.180361594824767</v>
      </c>
      <c r="H246" s="31">
        <f t="shared" si="23"/>
        <v>6723625.2179469634</v>
      </c>
      <c r="I246" s="10"/>
    </row>
    <row r="247" spans="2:9" ht="16.5" thickBot="1" x14ac:dyDescent="0.3">
      <c r="B247" s="43"/>
      <c r="C247" s="32">
        <f t="shared" si="18"/>
        <v>240</v>
      </c>
      <c r="D247" s="33">
        <f t="shared" si="19"/>
        <v>48991</v>
      </c>
      <c r="E247" s="34">
        <f t="shared" si="20"/>
        <v>2.5611370801925659E-9</v>
      </c>
      <c r="F247" s="35">
        <f t="shared" si="21"/>
        <v>28104.21886877541</v>
      </c>
      <c r="G247" s="35">
        <f t="shared" si="22"/>
        <v>28.104218868775416</v>
      </c>
      <c r="H247" s="36">
        <f t="shared" si="23"/>
        <v>6751757.5410346072</v>
      </c>
      <c r="I247" s="10"/>
    </row>
    <row r="248" spans="2:9" ht="16.5" thickTop="1" x14ac:dyDescent="0.25">
      <c r="B248" s="41" t="s">
        <v>24</v>
      </c>
      <c r="C248" s="19" t="str">
        <f t="shared" si="18"/>
        <v/>
      </c>
      <c r="D248" s="28" t="str">
        <f t="shared" si="19"/>
        <v/>
      </c>
      <c r="E248" s="29" t="str">
        <f t="shared" si="20"/>
        <v/>
      </c>
      <c r="F248" s="30" t="str">
        <f t="shared" si="21"/>
        <v/>
      </c>
      <c r="G248" s="30" t="str">
        <f t="shared" si="22"/>
        <v/>
      </c>
      <c r="H248" s="31" t="str">
        <f t="shared" si="23"/>
        <v/>
      </c>
      <c r="I248" s="10"/>
    </row>
    <row r="249" spans="2:9" x14ac:dyDescent="0.25">
      <c r="B249" s="38"/>
      <c r="C249" s="23" t="str">
        <f t="shared" si="18"/>
        <v/>
      </c>
      <c r="D249" s="24" t="str">
        <f t="shared" si="19"/>
        <v/>
      </c>
      <c r="E249" s="25" t="str">
        <f t="shared" si="20"/>
        <v/>
      </c>
      <c r="F249" s="26" t="str">
        <f t="shared" si="21"/>
        <v/>
      </c>
      <c r="G249" s="26" t="str">
        <f t="shared" si="22"/>
        <v/>
      </c>
      <c r="H249" s="27" t="str">
        <f t="shared" si="23"/>
        <v/>
      </c>
      <c r="I249" s="10"/>
    </row>
    <row r="250" spans="2:9" x14ac:dyDescent="0.25">
      <c r="B250" s="38"/>
      <c r="C250" s="23" t="str">
        <f t="shared" si="18"/>
        <v/>
      </c>
      <c r="D250" s="28" t="str">
        <f t="shared" si="19"/>
        <v/>
      </c>
      <c r="E250" s="29" t="str">
        <f t="shared" si="20"/>
        <v/>
      </c>
      <c r="F250" s="30" t="str">
        <f t="shared" si="21"/>
        <v/>
      </c>
      <c r="G250" s="30" t="str">
        <f t="shared" si="22"/>
        <v/>
      </c>
      <c r="H250" s="31" t="str">
        <f t="shared" si="23"/>
        <v/>
      </c>
      <c r="I250" s="10"/>
    </row>
    <row r="251" spans="2:9" x14ac:dyDescent="0.25">
      <c r="B251" s="38"/>
      <c r="C251" s="23" t="str">
        <f t="shared" si="18"/>
        <v/>
      </c>
      <c r="D251" s="24" t="str">
        <f t="shared" si="19"/>
        <v/>
      </c>
      <c r="E251" s="25" t="str">
        <f t="shared" si="20"/>
        <v/>
      </c>
      <c r="F251" s="26" t="str">
        <f t="shared" si="21"/>
        <v/>
      </c>
      <c r="G251" s="26" t="str">
        <f t="shared" si="22"/>
        <v/>
      </c>
      <c r="H251" s="27" t="str">
        <f t="shared" si="23"/>
        <v/>
      </c>
      <c r="I251" s="10"/>
    </row>
    <row r="252" spans="2:9" x14ac:dyDescent="0.25">
      <c r="B252" s="38"/>
      <c r="C252" s="23" t="str">
        <f t="shared" si="18"/>
        <v/>
      </c>
      <c r="D252" s="28" t="str">
        <f t="shared" si="19"/>
        <v/>
      </c>
      <c r="E252" s="29" t="str">
        <f t="shared" si="20"/>
        <v/>
      </c>
      <c r="F252" s="30" t="str">
        <f t="shared" si="21"/>
        <v/>
      </c>
      <c r="G252" s="30" t="str">
        <f t="shared" si="22"/>
        <v/>
      </c>
      <c r="H252" s="31" t="str">
        <f t="shared" si="23"/>
        <v/>
      </c>
      <c r="I252" s="10"/>
    </row>
    <row r="253" spans="2:9" x14ac:dyDescent="0.25">
      <c r="B253" s="38"/>
      <c r="C253" s="23" t="str">
        <f t="shared" si="18"/>
        <v/>
      </c>
      <c r="D253" s="24" t="str">
        <f t="shared" si="19"/>
        <v/>
      </c>
      <c r="E253" s="25" t="str">
        <f t="shared" si="20"/>
        <v/>
      </c>
      <c r="F253" s="26" t="str">
        <f t="shared" si="21"/>
        <v/>
      </c>
      <c r="G253" s="26" t="str">
        <f t="shared" si="22"/>
        <v/>
      </c>
      <c r="H253" s="27" t="str">
        <f t="shared" si="23"/>
        <v/>
      </c>
      <c r="I253" s="10"/>
    </row>
    <row r="254" spans="2:9" x14ac:dyDescent="0.25">
      <c r="B254" s="38"/>
      <c r="C254" s="23" t="str">
        <f t="shared" si="18"/>
        <v/>
      </c>
      <c r="D254" s="28" t="str">
        <f t="shared" si="19"/>
        <v/>
      </c>
      <c r="E254" s="29" t="str">
        <f t="shared" si="20"/>
        <v/>
      </c>
      <c r="F254" s="30" t="str">
        <f t="shared" si="21"/>
        <v/>
      </c>
      <c r="G254" s="30" t="str">
        <f t="shared" si="22"/>
        <v/>
      </c>
      <c r="H254" s="31" t="str">
        <f t="shared" si="23"/>
        <v/>
      </c>
      <c r="I254" s="10"/>
    </row>
    <row r="255" spans="2:9" x14ac:dyDescent="0.25">
      <c r="B255" s="38"/>
      <c r="C255" s="23" t="str">
        <f t="shared" si="18"/>
        <v/>
      </c>
      <c r="D255" s="24" t="str">
        <f t="shared" si="19"/>
        <v/>
      </c>
      <c r="E255" s="25" t="str">
        <f t="shared" si="20"/>
        <v/>
      </c>
      <c r="F255" s="26" t="str">
        <f t="shared" si="21"/>
        <v/>
      </c>
      <c r="G255" s="26" t="str">
        <f t="shared" si="22"/>
        <v/>
      </c>
      <c r="H255" s="27" t="str">
        <f t="shared" si="23"/>
        <v/>
      </c>
      <c r="I255" s="10"/>
    </row>
    <row r="256" spans="2:9" x14ac:dyDescent="0.25">
      <c r="B256" s="38"/>
      <c r="C256" s="23" t="str">
        <f t="shared" si="18"/>
        <v/>
      </c>
      <c r="D256" s="28" t="str">
        <f t="shared" si="19"/>
        <v/>
      </c>
      <c r="E256" s="29" t="str">
        <f t="shared" si="20"/>
        <v/>
      </c>
      <c r="F256" s="30" t="str">
        <f t="shared" si="21"/>
        <v/>
      </c>
      <c r="G256" s="30" t="str">
        <f t="shared" si="22"/>
        <v/>
      </c>
      <c r="H256" s="31" t="str">
        <f t="shared" si="23"/>
        <v/>
      </c>
      <c r="I256" s="10"/>
    </row>
    <row r="257" spans="2:9" x14ac:dyDescent="0.25">
      <c r="B257" s="38"/>
      <c r="C257" s="23" t="str">
        <f t="shared" si="18"/>
        <v/>
      </c>
      <c r="D257" s="24" t="str">
        <f t="shared" si="19"/>
        <v/>
      </c>
      <c r="E257" s="25" t="str">
        <f t="shared" si="20"/>
        <v/>
      </c>
      <c r="F257" s="26" t="str">
        <f t="shared" si="21"/>
        <v/>
      </c>
      <c r="G257" s="26" t="str">
        <f t="shared" si="22"/>
        <v/>
      </c>
      <c r="H257" s="27" t="str">
        <f t="shared" si="23"/>
        <v/>
      </c>
      <c r="I257" s="10"/>
    </row>
    <row r="258" spans="2:9" x14ac:dyDescent="0.25">
      <c r="B258" s="38"/>
      <c r="C258" s="23" t="str">
        <f t="shared" si="18"/>
        <v/>
      </c>
      <c r="D258" s="28" t="str">
        <f t="shared" si="19"/>
        <v/>
      </c>
      <c r="E258" s="29" t="str">
        <f t="shared" si="20"/>
        <v/>
      </c>
      <c r="F258" s="30" t="str">
        <f t="shared" si="21"/>
        <v/>
      </c>
      <c r="G258" s="30" t="str">
        <f t="shared" si="22"/>
        <v/>
      </c>
      <c r="H258" s="31" t="str">
        <f t="shared" si="23"/>
        <v/>
      </c>
      <c r="I258" s="10"/>
    </row>
    <row r="259" spans="2:9" ht="16.5" thickBot="1" x14ac:dyDescent="0.3">
      <c r="B259" s="43"/>
      <c r="C259" s="32" t="str">
        <f t="shared" si="18"/>
        <v/>
      </c>
      <c r="D259" s="33" t="str">
        <f t="shared" si="19"/>
        <v/>
      </c>
      <c r="E259" s="34" t="str">
        <f t="shared" si="20"/>
        <v/>
      </c>
      <c r="F259" s="35" t="str">
        <f t="shared" si="21"/>
        <v/>
      </c>
      <c r="G259" s="35" t="str">
        <f t="shared" si="22"/>
        <v/>
      </c>
      <c r="H259" s="36" t="str">
        <f t="shared" si="23"/>
        <v/>
      </c>
      <c r="I259" s="10"/>
    </row>
    <row r="260" spans="2:9" ht="16.5" thickTop="1" x14ac:dyDescent="0.25">
      <c r="B260" s="41" t="s">
        <v>25</v>
      </c>
      <c r="C260" s="19" t="str">
        <f t="shared" si="18"/>
        <v/>
      </c>
      <c r="D260" s="28" t="str">
        <f t="shared" si="19"/>
        <v/>
      </c>
      <c r="E260" s="29" t="str">
        <f t="shared" si="20"/>
        <v/>
      </c>
      <c r="F260" s="30" t="str">
        <f t="shared" si="21"/>
        <v/>
      </c>
      <c r="G260" s="30" t="str">
        <f t="shared" si="22"/>
        <v/>
      </c>
      <c r="H260" s="31" t="str">
        <f t="shared" si="23"/>
        <v/>
      </c>
      <c r="I260" s="10"/>
    </row>
    <row r="261" spans="2:9" x14ac:dyDescent="0.25">
      <c r="B261" s="38"/>
      <c r="C261" s="23" t="str">
        <f t="shared" si="18"/>
        <v/>
      </c>
      <c r="D261" s="24" t="str">
        <f t="shared" si="19"/>
        <v/>
      </c>
      <c r="E261" s="25" t="str">
        <f t="shared" si="20"/>
        <v/>
      </c>
      <c r="F261" s="26" t="str">
        <f t="shared" si="21"/>
        <v/>
      </c>
      <c r="G261" s="26" t="str">
        <f t="shared" si="22"/>
        <v/>
      </c>
      <c r="H261" s="27" t="str">
        <f t="shared" si="23"/>
        <v/>
      </c>
      <c r="I261" s="10"/>
    </row>
    <row r="262" spans="2:9" x14ac:dyDescent="0.25">
      <c r="B262" s="38"/>
      <c r="C262" s="23" t="str">
        <f t="shared" si="18"/>
        <v/>
      </c>
      <c r="D262" s="28" t="str">
        <f t="shared" si="19"/>
        <v/>
      </c>
      <c r="E262" s="29" t="str">
        <f t="shared" si="20"/>
        <v/>
      </c>
      <c r="F262" s="30" t="str">
        <f t="shared" si="21"/>
        <v/>
      </c>
      <c r="G262" s="30" t="str">
        <f t="shared" si="22"/>
        <v/>
      </c>
      <c r="H262" s="31" t="str">
        <f t="shared" si="23"/>
        <v/>
      </c>
      <c r="I262" s="10"/>
    </row>
    <row r="263" spans="2:9" x14ac:dyDescent="0.25">
      <c r="B263" s="38"/>
      <c r="C263" s="23" t="str">
        <f t="shared" si="18"/>
        <v/>
      </c>
      <c r="D263" s="24" t="str">
        <f t="shared" si="19"/>
        <v/>
      </c>
      <c r="E263" s="25" t="str">
        <f t="shared" si="20"/>
        <v/>
      </c>
      <c r="F263" s="26" t="str">
        <f t="shared" si="21"/>
        <v/>
      </c>
      <c r="G263" s="26" t="str">
        <f t="shared" si="22"/>
        <v/>
      </c>
      <c r="H263" s="27" t="str">
        <f t="shared" si="23"/>
        <v/>
      </c>
      <c r="I263" s="10"/>
    </row>
    <row r="264" spans="2:9" x14ac:dyDescent="0.25">
      <c r="B264" s="38"/>
      <c r="C264" s="23" t="str">
        <f t="shared" si="18"/>
        <v/>
      </c>
      <c r="D264" s="28" t="str">
        <f t="shared" si="19"/>
        <v/>
      </c>
      <c r="E264" s="29" t="str">
        <f t="shared" si="20"/>
        <v/>
      </c>
      <c r="F264" s="30" t="str">
        <f t="shared" si="21"/>
        <v/>
      </c>
      <c r="G264" s="30" t="str">
        <f t="shared" si="22"/>
        <v/>
      </c>
      <c r="H264" s="31" t="str">
        <f t="shared" si="23"/>
        <v/>
      </c>
      <c r="I264" s="10"/>
    </row>
    <row r="265" spans="2:9" x14ac:dyDescent="0.25">
      <c r="B265" s="38"/>
      <c r="C265" s="23" t="str">
        <f t="shared" ref="C265:C328" si="24">IF(C264&lt;$F$6,C264+1,"")</f>
        <v/>
      </c>
      <c r="D265" s="24" t="str">
        <f t="shared" si="19"/>
        <v/>
      </c>
      <c r="E265" s="25" t="str">
        <f t="shared" si="20"/>
        <v/>
      </c>
      <c r="F265" s="26" t="str">
        <f t="shared" si="21"/>
        <v/>
      </c>
      <c r="G265" s="26" t="str">
        <f t="shared" si="22"/>
        <v/>
      </c>
      <c r="H265" s="27" t="str">
        <f t="shared" si="23"/>
        <v/>
      </c>
      <c r="I265" s="10"/>
    </row>
    <row r="266" spans="2:9" x14ac:dyDescent="0.25">
      <c r="B266" s="38"/>
      <c r="C266" s="23" t="str">
        <f t="shared" si="24"/>
        <v/>
      </c>
      <c r="D266" s="28" t="str">
        <f t="shared" ref="D266:D329" si="25">IF(C266="","",DATE(YEAR(D265),MONTH(D265)+1,DAY(D265)))</f>
        <v/>
      </c>
      <c r="E266" s="29" t="str">
        <f t="shared" ref="E266:E329" si="26">IF(C266="","",E265-F266)</f>
        <v/>
      </c>
      <c r="F266" s="30" t="str">
        <f t="shared" ref="F266:F329" si="27">IF(C266="","",-PPMT($F$5/12,C266,$F$4*12,$D$5))</f>
        <v/>
      </c>
      <c r="G266" s="30" t="str">
        <f t="shared" ref="G266:G329" si="28">IF(C266="","",-IPMT($F$5/12,C266,$F$4*12,$D$5))</f>
        <v/>
      </c>
      <c r="H266" s="31" t="str">
        <f t="shared" ref="H266:H329" si="29">IF(C266="","",H265+F266+G266)</f>
        <v/>
      </c>
      <c r="I266" s="10"/>
    </row>
    <row r="267" spans="2:9" x14ac:dyDescent="0.25">
      <c r="B267" s="38"/>
      <c r="C267" s="23" t="str">
        <f t="shared" si="24"/>
        <v/>
      </c>
      <c r="D267" s="24" t="str">
        <f t="shared" si="25"/>
        <v/>
      </c>
      <c r="E267" s="25" t="str">
        <f t="shared" si="26"/>
        <v/>
      </c>
      <c r="F267" s="26" t="str">
        <f t="shared" si="27"/>
        <v/>
      </c>
      <c r="G267" s="26" t="str">
        <f t="shared" si="28"/>
        <v/>
      </c>
      <c r="H267" s="27" t="str">
        <f t="shared" si="29"/>
        <v/>
      </c>
      <c r="I267" s="10"/>
    </row>
    <row r="268" spans="2:9" x14ac:dyDescent="0.25">
      <c r="B268" s="38"/>
      <c r="C268" s="23" t="str">
        <f t="shared" si="24"/>
        <v/>
      </c>
      <c r="D268" s="28" t="str">
        <f t="shared" si="25"/>
        <v/>
      </c>
      <c r="E268" s="29" t="str">
        <f t="shared" si="26"/>
        <v/>
      </c>
      <c r="F268" s="30" t="str">
        <f t="shared" si="27"/>
        <v/>
      </c>
      <c r="G268" s="30" t="str">
        <f t="shared" si="28"/>
        <v/>
      </c>
      <c r="H268" s="31" t="str">
        <f t="shared" si="29"/>
        <v/>
      </c>
      <c r="I268" s="10"/>
    </row>
    <row r="269" spans="2:9" x14ac:dyDescent="0.25">
      <c r="B269" s="38"/>
      <c r="C269" s="23" t="str">
        <f t="shared" si="24"/>
        <v/>
      </c>
      <c r="D269" s="24" t="str">
        <f t="shared" si="25"/>
        <v/>
      </c>
      <c r="E269" s="25" t="str">
        <f t="shared" si="26"/>
        <v/>
      </c>
      <c r="F269" s="26" t="str">
        <f t="shared" si="27"/>
        <v/>
      </c>
      <c r="G269" s="26" t="str">
        <f t="shared" si="28"/>
        <v/>
      </c>
      <c r="H269" s="27" t="str">
        <f t="shared" si="29"/>
        <v/>
      </c>
      <c r="I269" s="10"/>
    </row>
    <row r="270" spans="2:9" x14ac:dyDescent="0.25">
      <c r="B270" s="38"/>
      <c r="C270" s="23" t="str">
        <f t="shared" si="24"/>
        <v/>
      </c>
      <c r="D270" s="28" t="str">
        <f t="shared" si="25"/>
        <v/>
      </c>
      <c r="E270" s="29" t="str">
        <f t="shared" si="26"/>
        <v/>
      </c>
      <c r="F270" s="30" t="str">
        <f t="shared" si="27"/>
        <v/>
      </c>
      <c r="G270" s="30" t="str">
        <f t="shared" si="28"/>
        <v/>
      </c>
      <c r="H270" s="31" t="str">
        <f t="shared" si="29"/>
        <v/>
      </c>
      <c r="I270" s="10"/>
    </row>
    <row r="271" spans="2:9" ht="16.5" thickBot="1" x14ac:dyDescent="0.3">
      <c r="B271" s="43"/>
      <c r="C271" s="32" t="str">
        <f t="shared" si="24"/>
        <v/>
      </c>
      <c r="D271" s="33" t="str">
        <f t="shared" si="25"/>
        <v/>
      </c>
      <c r="E271" s="34" t="str">
        <f t="shared" si="26"/>
        <v/>
      </c>
      <c r="F271" s="35" t="str">
        <f t="shared" si="27"/>
        <v/>
      </c>
      <c r="G271" s="35" t="str">
        <f t="shared" si="28"/>
        <v/>
      </c>
      <c r="H271" s="36" t="str">
        <f t="shared" si="29"/>
        <v/>
      </c>
      <c r="I271" s="10"/>
    </row>
    <row r="272" spans="2:9" ht="16.5" thickTop="1" x14ac:dyDescent="0.25">
      <c r="B272" s="41" t="s">
        <v>26</v>
      </c>
      <c r="C272" s="19" t="str">
        <f t="shared" si="24"/>
        <v/>
      </c>
      <c r="D272" s="28" t="str">
        <f t="shared" si="25"/>
        <v/>
      </c>
      <c r="E272" s="29" t="str">
        <f t="shared" si="26"/>
        <v/>
      </c>
      <c r="F272" s="30" t="str">
        <f t="shared" si="27"/>
        <v/>
      </c>
      <c r="G272" s="30" t="str">
        <f t="shared" si="28"/>
        <v/>
      </c>
      <c r="H272" s="31" t="str">
        <f t="shared" si="29"/>
        <v/>
      </c>
      <c r="I272" s="10"/>
    </row>
    <row r="273" spans="2:9" x14ac:dyDescent="0.25">
      <c r="B273" s="38"/>
      <c r="C273" s="23" t="str">
        <f t="shared" si="24"/>
        <v/>
      </c>
      <c r="D273" s="24" t="str">
        <f t="shared" si="25"/>
        <v/>
      </c>
      <c r="E273" s="25" t="str">
        <f t="shared" si="26"/>
        <v/>
      </c>
      <c r="F273" s="26" t="str">
        <f t="shared" si="27"/>
        <v/>
      </c>
      <c r="G273" s="26" t="str">
        <f t="shared" si="28"/>
        <v/>
      </c>
      <c r="H273" s="27" t="str">
        <f t="shared" si="29"/>
        <v/>
      </c>
      <c r="I273" s="10"/>
    </row>
    <row r="274" spans="2:9" x14ac:dyDescent="0.25">
      <c r="B274" s="38"/>
      <c r="C274" s="23" t="str">
        <f t="shared" si="24"/>
        <v/>
      </c>
      <c r="D274" s="28" t="str">
        <f t="shared" si="25"/>
        <v/>
      </c>
      <c r="E274" s="29" t="str">
        <f t="shared" si="26"/>
        <v/>
      </c>
      <c r="F274" s="30" t="str">
        <f t="shared" si="27"/>
        <v/>
      </c>
      <c r="G274" s="30" t="str">
        <f t="shared" si="28"/>
        <v/>
      </c>
      <c r="H274" s="31" t="str">
        <f t="shared" si="29"/>
        <v/>
      </c>
      <c r="I274" s="10"/>
    </row>
    <row r="275" spans="2:9" x14ac:dyDescent="0.25">
      <c r="B275" s="38"/>
      <c r="C275" s="23" t="str">
        <f t="shared" si="24"/>
        <v/>
      </c>
      <c r="D275" s="24" t="str">
        <f t="shared" si="25"/>
        <v/>
      </c>
      <c r="E275" s="25" t="str">
        <f t="shared" si="26"/>
        <v/>
      </c>
      <c r="F275" s="26" t="str">
        <f t="shared" si="27"/>
        <v/>
      </c>
      <c r="G275" s="26" t="str">
        <f t="shared" si="28"/>
        <v/>
      </c>
      <c r="H275" s="27" t="str">
        <f t="shared" si="29"/>
        <v/>
      </c>
      <c r="I275" s="10"/>
    </row>
    <row r="276" spans="2:9" x14ac:dyDescent="0.25">
      <c r="B276" s="38"/>
      <c r="C276" s="23" t="str">
        <f t="shared" si="24"/>
        <v/>
      </c>
      <c r="D276" s="28" t="str">
        <f t="shared" si="25"/>
        <v/>
      </c>
      <c r="E276" s="29" t="str">
        <f t="shared" si="26"/>
        <v/>
      </c>
      <c r="F276" s="30" t="str">
        <f t="shared" si="27"/>
        <v/>
      </c>
      <c r="G276" s="30" t="str">
        <f t="shared" si="28"/>
        <v/>
      </c>
      <c r="H276" s="31" t="str">
        <f t="shared" si="29"/>
        <v/>
      </c>
      <c r="I276" s="10"/>
    </row>
    <row r="277" spans="2:9" x14ac:dyDescent="0.25">
      <c r="B277" s="38"/>
      <c r="C277" s="23" t="str">
        <f t="shared" si="24"/>
        <v/>
      </c>
      <c r="D277" s="24" t="str">
        <f t="shared" si="25"/>
        <v/>
      </c>
      <c r="E277" s="25" t="str">
        <f t="shared" si="26"/>
        <v/>
      </c>
      <c r="F277" s="26" t="str">
        <f t="shared" si="27"/>
        <v/>
      </c>
      <c r="G277" s="26" t="str">
        <f t="shared" si="28"/>
        <v/>
      </c>
      <c r="H277" s="27" t="str">
        <f t="shared" si="29"/>
        <v/>
      </c>
      <c r="I277" s="10"/>
    </row>
    <row r="278" spans="2:9" x14ac:dyDescent="0.25">
      <c r="B278" s="38"/>
      <c r="C278" s="23" t="str">
        <f t="shared" si="24"/>
        <v/>
      </c>
      <c r="D278" s="28" t="str">
        <f t="shared" si="25"/>
        <v/>
      </c>
      <c r="E278" s="29" t="str">
        <f t="shared" si="26"/>
        <v/>
      </c>
      <c r="F278" s="30" t="str">
        <f t="shared" si="27"/>
        <v/>
      </c>
      <c r="G278" s="30" t="str">
        <f t="shared" si="28"/>
        <v/>
      </c>
      <c r="H278" s="31" t="str">
        <f t="shared" si="29"/>
        <v/>
      </c>
      <c r="I278" s="10"/>
    </row>
    <row r="279" spans="2:9" x14ac:dyDescent="0.25">
      <c r="B279" s="38"/>
      <c r="C279" s="23" t="str">
        <f t="shared" si="24"/>
        <v/>
      </c>
      <c r="D279" s="24" t="str">
        <f t="shared" si="25"/>
        <v/>
      </c>
      <c r="E279" s="25" t="str">
        <f t="shared" si="26"/>
        <v/>
      </c>
      <c r="F279" s="26" t="str">
        <f t="shared" si="27"/>
        <v/>
      </c>
      <c r="G279" s="26" t="str">
        <f t="shared" si="28"/>
        <v/>
      </c>
      <c r="H279" s="27" t="str">
        <f t="shared" si="29"/>
        <v/>
      </c>
      <c r="I279" s="10"/>
    </row>
    <row r="280" spans="2:9" x14ac:dyDescent="0.25">
      <c r="B280" s="38"/>
      <c r="C280" s="23" t="str">
        <f t="shared" si="24"/>
        <v/>
      </c>
      <c r="D280" s="28" t="str">
        <f t="shared" si="25"/>
        <v/>
      </c>
      <c r="E280" s="29" t="str">
        <f t="shared" si="26"/>
        <v/>
      </c>
      <c r="F280" s="30" t="str">
        <f t="shared" si="27"/>
        <v/>
      </c>
      <c r="G280" s="30" t="str">
        <f t="shared" si="28"/>
        <v/>
      </c>
      <c r="H280" s="31" t="str">
        <f t="shared" si="29"/>
        <v/>
      </c>
      <c r="I280" s="10"/>
    </row>
    <row r="281" spans="2:9" x14ac:dyDescent="0.25">
      <c r="B281" s="38"/>
      <c r="C281" s="23" t="str">
        <f t="shared" si="24"/>
        <v/>
      </c>
      <c r="D281" s="24" t="str">
        <f t="shared" si="25"/>
        <v/>
      </c>
      <c r="E281" s="25" t="str">
        <f t="shared" si="26"/>
        <v/>
      </c>
      <c r="F281" s="26" t="str">
        <f t="shared" si="27"/>
        <v/>
      </c>
      <c r="G281" s="26" t="str">
        <f t="shared" si="28"/>
        <v/>
      </c>
      <c r="H281" s="27" t="str">
        <f t="shared" si="29"/>
        <v/>
      </c>
      <c r="I281" s="10"/>
    </row>
    <row r="282" spans="2:9" x14ac:dyDescent="0.25">
      <c r="B282" s="38"/>
      <c r="C282" s="23" t="str">
        <f t="shared" si="24"/>
        <v/>
      </c>
      <c r="D282" s="28" t="str">
        <f t="shared" si="25"/>
        <v/>
      </c>
      <c r="E282" s="29" t="str">
        <f t="shared" si="26"/>
        <v/>
      </c>
      <c r="F282" s="30" t="str">
        <f t="shared" si="27"/>
        <v/>
      </c>
      <c r="G282" s="30" t="str">
        <f t="shared" si="28"/>
        <v/>
      </c>
      <c r="H282" s="31" t="str">
        <f t="shared" si="29"/>
        <v/>
      </c>
      <c r="I282" s="10"/>
    </row>
    <row r="283" spans="2:9" ht="16.5" thickBot="1" x14ac:dyDescent="0.3">
      <c r="B283" s="43"/>
      <c r="C283" s="32" t="str">
        <f t="shared" si="24"/>
        <v/>
      </c>
      <c r="D283" s="33" t="str">
        <f t="shared" si="25"/>
        <v/>
      </c>
      <c r="E283" s="34" t="str">
        <f t="shared" si="26"/>
        <v/>
      </c>
      <c r="F283" s="35" t="str">
        <f t="shared" si="27"/>
        <v/>
      </c>
      <c r="G283" s="35" t="str">
        <f t="shared" si="28"/>
        <v/>
      </c>
      <c r="H283" s="36" t="str">
        <f t="shared" si="29"/>
        <v/>
      </c>
      <c r="I283" s="10"/>
    </row>
    <row r="284" spans="2:9" ht="16.5" thickTop="1" x14ac:dyDescent="0.25">
      <c r="B284" s="41" t="s">
        <v>27</v>
      </c>
      <c r="C284" s="19" t="str">
        <f t="shared" si="24"/>
        <v/>
      </c>
      <c r="D284" s="28" t="str">
        <f t="shared" si="25"/>
        <v/>
      </c>
      <c r="E284" s="29" t="str">
        <f t="shared" si="26"/>
        <v/>
      </c>
      <c r="F284" s="30" t="str">
        <f t="shared" si="27"/>
        <v/>
      </c>
      <c r="G284" s="30" t="str">
        <f t="shared" si="28"/>
        <v/>
      </c>
      <c r="H284" s="31" t="str">
        <f t="shared" si="29"/>
        <v/>
      </c>
      <c r="I284" s="10"/>
    </row>
    <row r="285" spans="2:9" x14ac:dyDescent="0.25">
      <c r="B285" s="38"/>
      <c r="C285" s="23" t="str">
        <f t="shared" si="24"/>
        <v/>
      </c>
      <c r="D285" s="24" t="str">
        <f t="shared" si="25"/>
        <v/>
      </c>
      <c r="E285" s="25" t="str">
        <f t="shared" si="26"/>
        <v/>
      </c>
      <c r="F285" s="26" t="str">
        <f t="shared" si="27"/>
        <v/>
      </c>
      <c r="G285" s="26" t="str">
        <f t="shared" si="28"/>
        <v/>
      </c>
      <c r="H285" s="27" t="str">
        <f t="shared" si="29"/>
        <v/>
      </c>
      <c r="I285" s="10"/>
    </row>
    <row r="286" spans="2:9" x14ac:dyDescent="0.25">
      <c r="B286" s="38"/>
      <c r="C286" s="23" t="str">
        <f t="shared" si="24"/>
        <v/>
      </c>
      <c r="D286" s="28" t="str">
        <f t="shared" si="25"/>
        <v/>
      </c>
      <c r="E286" s="29" t="str">
        <f t="shared" si="26"/>
        <v/>
      </c>
      <c r="F286" s="30" t="str">
        <f t="shared" si="27"/>
        <v/>
      </c>
      <c r="G286" s="30" t="str">
        <f t="shared" si="28"/>
        <v/>
      </c>
      <c r="H286" s="31" t="str">
        <f t="shared" si="29"/>
        <v/>
      </c>
      <c r="I286" s="10"/>
    </row>
    <row r="287" spans="2:9" x14ac:dyDescent="0.25">
      <c r="B287" s="38"/>
      <c r="C287" s="23" t="str">
        <f t="shared" si="24"/>
        <v/>
      </c>
      <c r="D287" s="24" t="str">
        <f t="shared" si="25"/>
        <v/>
      </c>
      <c r="E287" s="25" t="str">
        <f t="shared" si="26"/>
        <v/>
      </c>
      <c r="F287" s="26" t="str">
        <f t="shared" si="27"/>
        <v/>
      </c>
      <c r="G287" s="26" t="str">
        <f t="shared" si="28"/>
        <v/>
      </c>
      <c r="H287" s="27" t="str">
        <f t="shared" si="29"/>
        <v/>
      </c>
      <c r="I287" s="10"/>
    </row>
    <row r="288" spans="2:9" x14ac:dyDescent="0.25">
      <c r="B288" s="38"/>
      <c r="C288" s="23" t="str">
        <f t="shared" si="24"/>
        <v/>
      </c>
      <c r="D288" s="28" t="str">
        <f t="shared" si="25"/>
        <v/>
      </c>
      <c r="E288" s="29" t="str">
        <f t="shared" si="26"/>
        <v/>
      </c>
      <c r="F288" s="30" t="str">
        <f t="shared" si="27"/>
        <v/>
      </c>
      <c r="G288" s="30" t="str">
        <f t="shared" si="28"/>
        <v/>
      </c>
      <c r="H288" s="31" t="str">
        <f t="shared" si="29"/>
        <v/>
      </c>
      <c r="I288" s="10"/>
    </row>
    <row r="289" spans="2:9" x14ac:dyDescent="0.25">
      <c r="B289" s="38"/>
      <c r="C289" s="23" t="str">
        <f t="shared" si="24"/>
        <v/>
      </c>
      <c r="D289" s="24" t="str">
        <f t="shared" si="25"/>
        <v/>
      </c>
      <c r="E289" s="25" t="str">
        <f t="shared" si="26"/>
        <v/>
      </c>
      <c r="F289" s="26" t="str">
        <f t="shared" si="27"/>
        <v/>
      </c>
      <c r="G289" s="26" t="str">
        <f t="shared" si="28"/>
        <v/>
      </c>
      <c r="H289" s="27" t="str">
        <f t="shared" si="29"/>
        <v/>
      </c>
      <c r="I289" s="10"/>
    </row>
    <row r="290" spans="2:9" x14ac:dyDescent="0.25">
      <c r="B290" s="38"/>
      <c r="C290" s="23" t="str">
        <f t="shared" si="24"/>
        <v/>
      </c>
      <c r="D290" s="28" t="str">
        <f t="shared" si="25"/>
        <v/>
      </c>
      <c r="E290" s="29" t="str">
        <f t="shared" si="26"/>
        <v/>
      </c>
      <c r="F290" s="30" t="str">
        <f t="shared" si="27"/>
        <v/>
      </c>
      <c r="G290" s="30" t="str">
        <f t="shared" si="28"/>
        <v/>
      </c>
      <c r="H290" s="31" t="str">
        <f t="shared" si="29"/>
        <v/>
      </c>
      <c r="I290" s="10"/>
    </row>
    <row r="291" spans="2:9" x14ac:dyDescent="0.25">
      <c r="B291" s="38"/>
      <c r="C291" s="23" t="str">
        <f t="shared" si="24"/>
        <v/>
      </c>
      <c r="D291" s="24" t="str">
        <f t="shared" si="25"/>
        <v/>
      </c>
      <c r="E291" s="25" t="str">
        <f t="shared" si="26"/>
        <v/>
      </c>
      <c r="F291" s="26" t="str">
        <f t="shared" si="27"/>
        <v/>
      </c>
      <c r="G291" s="26" t="str">
        <f t="shared" si="28"/>
        <v/>
      </c>
      <c r="H291" s="27" t="str">
        <f t="shared" si="29"/>
        <v/>
      </c>
      <c r="I291" s="10"/>
    </row>
    <row r="292" spans="2:9" x14ac:dyDescent="0.25">
      <c r="B292" s="38"/>
      <c r="C292" s="23" t="str">
        <f t="shared" si="24"/>
        <v/>
      </c>
      <c r="D292" s="28" t="str">
        <f t="shared" si="25"/>
        <v/>
      </c>
      <c r="E292" s="29" t="str">
        <f t="shared" si="26"/>
        <v/>
      </c>
      <c r="F292" s="30" t="str">
        <f t="shared" si="27"/>
        <v/>
      </c>
      <c r="G292" s="30" t="str">
        <f t="shared" si="28"/>
        <v/>
      </c>
      <c r="H292" s="31" t="str">
        <f t="shared" si="29"/>
        <v/>
      </c>
      <c r="I292" s="10"/>
    </row>
    <row r="293" spans="2:9" x14ac:dyDescent="0.25">
      <c r="B293" s="38"/>
      <c r="C293" s="23" t="str">
        <f t="shared" si="24"/>
        <v/>
      </c>
      <c r="D293" s="24" t="str">
        <f t="shared" si="25"/>
        <v/>
      </c>
      <c r="E293" s="25" t="str">
        <f t="shared" si="26"/>
        <v/>
      </c>
      <c r="F293" s="26" t="str">
        <f t="shared" si="27"/>
        <v/>
      </c>
      <c r="G293" s="26" t="str">
        <f t="shared" si="28"/>
        <v/>
      </c>
      <c r="H293" s="27" t="str">
        <f t="shared" si="29"/>
        <v/>
      </c>
      <c r="I293" s="10"/>
    </row>
    <row r="294" spans="2:9" x14ac:dyDescent="0.25">
      <c r="B294" s="38"/>
      <c r="C294" s="23" t="str">
        <f t="shared" si="24"/>
        <v/>
      </c>
      <c r="D294" s="28" t="str">
        <f t="shared" si="25"/>
        <v/>
      </c>
      <c r="E294" s="29" t="str">
        <f t="shared" si="26"/>
        <v/>
      </c>
      <c r="F294" s="30" t="str">
        <f t="shared" si="27"/>
        <v/>
      </c>
      <c r="G294" s="30" t="str">
        <f t="shared" si="28"/>
        <v/>
      </c>
      <c r="H294" s="31" t="str">
        <f t="shared" si="29"/>
        <v/>
      </c>
      <c r="I294" s="10"/>
    </row>
    <row r="295" spans="2:9" ht="16.5" thickBot="1" x14ac:dyDescent="0.3">
      <c r="B295" s="43"/>
      <c r="C295" s="32" t="str">
        <f t="shared" si="24"/>
        <v/>
      </c>
      <c r="D295" s="33" t="str">
        <f t="shared" si="25"/>
        <v/>
      </c>
      <c r="E295" s="34" t="str">
        <f t="shared" si="26"/>
        <v/>
      </c>
      <c r="F295" s="35" t="str">
        <f t="shared" si="27"/>
        <v/>
      </c>
      <c r="G295" s="35" t="str">
        <f t="shared" si="28"/>
        <v/>
      </c>
      <c r="H295" s="36" t="str">
        <f t="shared" si="29"/>
        <v/>
      </c>
      <c r="I295" s="10"/>
    </row>
    <row r="296" spans="2:9" ht="16.5" thickTop="1" x14ac:dyDescent="0.25">
      <c r="B296" s="41" t="s">
        <v>28</v>
      </c>
      <c r="C296" s="19" t="str">
        <f t="shared" si="24"/>
        <v/>
      </c>
      <c r="D296" s="28" t="str">
        <f t="shared" si="25"/>
        <v/>
      </c>
      <c r="E296" s="29" t="str">
        <f t="shared" si="26"/>
        <v/>
      </c>
      <c r="F296" s="30" t="str">
        <f t="shared" si="27"/>
        <v/>
      </c>
      <c r="G296" s="30" t="str">
        <f t="shared" si="28"/>
        <v/>
      </c>
      <c r="H296" s="31" t="str">
        <f t="shared" si="29"/>
        <v/>
      </c>
      <c r="I296" s="10"/>
    </row>
    <row r="297" spans="2:9" x14ac:dyDescent="0.25">
      <c r="B297" s="38"/>
      <c r="C297" s="23" t="str">
        <f t="shared" si="24"/>
        <v/>
      </c>
      <c r="D297" s="24" t="str">
        <f t="shared" si="25"/>
        <v/>
      </c>
      <c r="E297" s="25" t="str">
        <f t="shared" si="26"/>
        <v/>
      </c>
      <c r="F297" s="26" t="str">
        <f t="shared" si="27"/>
        <v/>
      </c>
      <c r="G297" s="26" t="str">
        <f t="shared" si="28"/>
        <v/>
      </c>
      <c r="H297" s="27" t="str">
        <f t="shared" si="29"/>
        <v/>
      </c>
      <c r="I297" s="10"/>
    </row>
    <row r="298" spans="2:9" x14ac:dyDescent="0.25">
      <c r="B298" s="38"/>
      <c r="C298" s="23" t="str">
        <f t="shared" si="24"/>
        <v/>
      </c>
      <c r="D298" s="28" t="str">
        <f t="shared" si="25"/>
        <v/>
      </c>
      <c r="E298" s="29" t="str">
        <f t="shared" si="26"/>
        <v/>
      </c>
      <c r="F298" s="30" t="str">
        <f t="shared" si="27"/>
        <v/>
      </c>
      <c r="G298" s="30" t="str">
        <f t="shared" si="28"/>
        <v/>
      </c>
      <c r="H298" s="31" t="str">
        <f t="shared" si="29"/>
        <v/>
      </c>
      <c r="I298" s="10"/>
    </row>
    <row r="299" spans="2:9" x14ac:dyDescent="0.25">
      <c r="B299" s="38"/>
      <c r="C299" s="23" t="str">
        <f t="shared" si="24"/>
        <v/>
      </c>
      <c r="D299" s="24" t="str">
        <f t="shared" si="25"/>
        <v/>
      </c>
      <c r="E299" s="25" t="str">
        <f t="shared" si="26"/>
        <v/>
      </c>
      <c r="F299" s="26" t="str">
        <f t="shared" si="27"/>
        <v/>
      </c>
      <c r="G299" s="26" t="str">
        <f t="shared" si="28"/>
        <v/>
      </c>
      <c r="H299" s="27" t="str">
        <f t="shared" si="29"/>
        <v/>
      </c>
      <c r="I299" s="10"/>
    </row>
    <row r="300" spans="2:9" x14ac:dyDescent="0.25">
      <c r="B300" s="38"/>
      <c r="C300" s="23" t="str">
        <f t="shared" si="24"/>
        <v/>
      </c>
      <c r="D300" s="28" t="str">
        <f t="shared" si="25"/>
        <v/>
      </c>
      <c r="E300" s="29" t="str">
        <f t="shared" si="26"/>
        <v/>
      </c>
      <c r="F300" s="30" t="str">
        <f t="shared" si="27"/>
        <v/>
      </c>
      <c r="G300" s="30" t="str">
        <f t="shared" si="28"/>
        <v/>
      </c>
      <c r="H300" s="31" t="str">
        <f t="shared" si="29"/>
        <v/>
      </c>
      <c r="I300" s="10"/>
    </row>
    <row r="301" spans="2:9" x14ac:dyDescent="0.25">
      <c r="B301" s="38"/>
      <c r="C301" s="23" t="str">
        <f t="shared" si="24"/>
        <v/>
      </c>
      <c r="D301" s="24" t="str">
        <f t="shared" si="25"/>
        <v/>
      </c>
      <c r="E301" s="25" t="str">
        <f t="shared" si="26"/>
        <v/>
      </c>
      <c r="F301" s="26" t="str">
        <f t="shared" si="27"/>
        <v/>
      </c>
      <c r="G301" s="26" t="str">
        <f t="shared" si="28"/>
        <v/>
      </c>
      <c r="H301" s="27" t="str">
        <f t="shared" si="29"/>
        <v/>
      </c>
      <c r="I301" s="10"/>
    </row>
    <row r="302" spans="2:9" x14ac:dyDescent="0.25">
      <c r="B302" s="38"/>
      <c r="C302" s="23" t="str">
        <f t="shared" si="24"/>
        <v/>
      </c>
      <c r="D302" s="28" t="str">
        <f t="shared" si="25"/>
        <v/>
      </c>
      <c r="E302" s="29" t="str">
        <f t="shared" si="26"/>
        <v/>
      </c>
      <c r="F302" s="30" t="str">
        <f t="shared" si="27"/>
        <v/>
      </c>
      <c r="G302" s="30" t="str">
        <f t="shared" si="28"/>
        <v/>
      </c>
      <c r="H302" s="31" t="str">
        <f t="shared" si="29"/>
        <v/>
      </c>
      <c r="I302" s="10"/>
    </row>
    <row r="303" spans="2:9" x14ac:dyDescent="0.25">
      <c r="B303" s="38"/>
      <c r="C303" s="23" t="str">
        <f t="shared" si="24"/>
        <v/>
      </c>
      <c r="D303" s="24" t="str">
        <f t="shared" si="25"/>
        <v/>
      </c>
      <c r="E303" s="25" t="str">
        <f t="shared" si="26"/>
        <v/>
      </c>
      <c r="F303" s="26" t="str">
        <f t="shared" si="27"/>
        <v/>
      </c>
      <c r="G303" s="26" t="str">
        <f t="shared" si="28"/>
        <v/>
      </c>
      <c r="H303" s="27" t="str">
        <f t="shared" si="29"/>
        <v/>
      </c>
      <c r="I303" s="10"/>
    </row>
    <row r="304" spans="2:9" x14ac:dyDescent="0.25">
      <c r="B304" s="38"/>
      <c r="C304" s="23" t="str">
        <f t="shared" si="24"/>
        <v/>
      </c>
      <c r="D304" s="28" t="str">
        <f t="shared" si="25"/>
        <v/>
      </c>
      <c r="E304" s="29" t="str">
        <f t="shared" si="26"/>
        <v/>
      </c>
      <c r="F304" s="30" t="str">
        <f t="shared" si="27"/>
        <v/>
      </c>
      <c r="G304" s="30" t="str">
        <f t="shared" si="28"/>
        <v/>
      </c>
      <c r="H304" s="31" t="str">
        <f t="shared" si="29"/>
        <v/>
      </c>
      <c r="I304" s="10"/>
    </row>
    <row r="305" spans="2:9" x14ac:dyDescent="0.25">
      <c r="B305" s="38"/>
      <c r="C305" s="23" t="str">
        <f t="shared" si="24"/>
        <v/>
      </c>
      <c r="D305" s="24" t="str">
        <f t="shared" si="25"/>
        <v/>
      </c>
      <c r="E305" s="25" t="str">
        <f t="shared" si="26"/>
        <v/>
      </c>
      <c r="F305" s="26" t="str">
        <f t="shared" si="27"/>
        <v/>
      </c>
      <c r="G305" s="26" t="str">
        <f t="shared" si="28"/>
        <v/>
      </c>
      <c r="H305" s="27" t="str">
        <f t="shared" si="29"/>
        <v/>
      </c>
      <c r="I305" s="10"/>
    </row>
    <row r="306" spans="2:9" x14ac:dyDescent="0.25">
      <c r="B306" s="38"/>
      <c r="C306" s="23" t="str">
        <f t="shared" si="24"/>
        <v/>
      </c>
      <c r="D306" s="28" t="str">
        <f t="shared" si="25"/>
        <v/>
      </c>
      <c r="E306" s="29" t="str">
        <f t="shared" si="26"/>
        <v/>
      </c>
      <c r="F306" s="30" t="str">
        <f t="shared" si="27"/>
        <v/>
      </c>
      <c r="G306" s="30" t="str">
        <f t="shared" si="28"/>
        <v/>
      </c>
      <c r="H306" s="31" t="str">
        <f t="shared" si="29"/>
        <v/>
      </c>
      <c r="I306" s="10"/>
    </row>
    <row r="307" spans="2:9" ht="16.5" thickBot="1" x14ac:dyDescent="0.3">
      <c r="B307" s="43"/>
      <c r="C307" s="32" t="str">
        <f t="shared" si="24"/>
        <v/>
      </c>
      <c r="D307" s="33" t="str">
        <f t="shared" si="25"/>
        <v/>
      </c>
      <c r="E307" s="34" t="str">
        <f t="shared" si="26"/>
        <v/>
      </c>
      <c r="F307" s="35" t="str">
        <f t="shared" si="27"/>
        <v/>
      </c>
      <c r="G307" s="35" t="str">
        <f t="shared" si="28"/>
        <v/>
      </c>
      <c r="H307" s="36" t="str">
        <f t="shared" si="29"/>
        <v/>
      </c>
      <c r="I307" s="10"/>
    </row>
    <row r="308" spans="2:9" ht="16.5" thickTop="1" x14ac:dyDescent="0.25">
      <c r="B308" s="41" t="s">
        <v>29</v>
      </c>
      <c r="C308" s="19" t="str">
        <f t="shared" si="24"/>
        <v/>
      </c>
      <c r="D308" s="28" t="str">
        <f t="shared" si="25"/>
        <v/>
      </c>
      <c r="E308" s="29" t="str">
        <f t="shared" si="26"/>
        <v/>
      </c>
      <c r="F308" s="30" t="str">
        <f t="shared" si="27"/>
        <v/>
      </c>
      <c r="G308" s="30" t="str">
        <f t="shared" si="28"/>
        <v/>
      </c>
      <c r="H308" s="31" t="str">
        <f t="shared" si="29"/>
        <v/>
      </c>
      <c r="I308" s="10"/>
    </row>
    <row r="309" spans="2:9" x14ac:dyDescent="0.25">
      <c r="B309" s="38"/>
      <c r="C309" s="23" t="str">
        <f t="shared" si="24"/>
        <v/>
      </c>
      <c r="D309" s="24" t="str">
        <f t="shared" si="25"/>
        <v/>
      </c>
      <c r="E309" s="25" t="str">
        <f t="shared" si="26"/>
        <v/>
      </c>
      <c r="F309" s="26" t="str">
        <f t="shared" si="27"/>
        <v/>
      </c>
      <c r="G309" s="26" t="str">
        <f t="shared" si="28"/>
        <v/>
      </c>
      <c r="H309" s="27" t="str">
        <f t="shared" si="29"/>
        <v/>
      </c>
      <c r="I309" s="10"/>
    </row>
    <row r="310" spans="2:9" x14ac:dyDescent="0.25">
      <c r="B310" s="38"/>
      <c r="C310" s="23" t="str">
        <f t="shared" si="24"/>
        <v/>
      </c>
      <c r="D310" s="28" t="str">
        <f t="shared" si="25"/>
        <v/>
      </c>
      <c r="E310" s="29" t="str">
        <f t="shared" si="26"/>
        <v/>
      </c>
      <c r="F310" s="30" t="str">
        <f t="shared" si="27"/>
        <v/>
      </c>
      <c r="G310" s="30" t="str">
        <f t="shared" si="28"/>
        <v/>
      </c>
      <c r="H310" s="31" t="str">
        <f t="shared" si="29"/>
        <v/>
      </c>
      <c r="I310" s="10"/>
    </row>
    <row r="311" spans="2:9" x14ac:dyDescent="0.25">
      <c r="B311" s="38"/>
      <c r="C311" s="23" t="str">
        <f t="shared" si="24"/>
        <v/>
      </c>
      <c r="D311" s="24" t="str">
        <f t="shared" si="25"/>
        <v/>
      </c>
      <c r="E311" s="25" t="str">
        <f t="shared" si="26"/>
        <v/>
      </c>
      <c r="F311" s="26" t="str">
        <f t="shared" si="27"/>
        <v/>
      </c>
      <c r="G311" s="26" t="str">
        <f t="shared" si="28"/>
        <v/>
      </c>
      <c r="H311" s="27" t="str">
        <f t="shared" si="29"/>
        <v/>
      </c>
      <c r="I311" s="10"/>
    </row>
    <row r="312" spans="2:9" x14ac:dyDescent="0.25">
      <c r="B312" s="38"/>
      <c r="C312" s="23" t="str">
        <f t="shared" si="24"/>
        <v/>
      </c>
      <c r="D312" s="28" t="str">
        <f t="shared" si="25"/>
        <v/>
      </c>
      <c r="E312" s="29" t="str">
        <f t="shared" si="26"/>
        <v/>
      </c>
      <c r="F312" s="30" t="str">
        <f t="shared" si="27"/>
        <v/>
      </c>
      <c r="G312" s="30" t="str">
        <f t="shared" si="28"/>
        <v/>
      </c>
      <c r="H312" s="31" t="str">
        <f t="shared" si="29"/>
        <v/>
      </c>
      <c r="I312" s="10"/>
    </row>
    <row r="313" spans="2:9" x14ac:dyDescent="0.25">
      <c r="B313" s="38"/>
      <c r="C313" s="23" t="str">
        <f t="shared" si="24"/>
        <v/>
      </c>
      <c r="D313" s="24" t="str">
        <f t="shared" si="25"/>
        <v/>
      </c>
      <c r="E313" s="25" t="str">
        <f t="shared" si="26"/>
        <v/>
      </c>
      <c r="F313" s="26" t="str">
        <f t="shared" si="27"/>
        <v/>
      </c>
      <c r="G313" s="26" t="str">
        <f t="shared" si="28"/>
        <v/>
      </c>
      <c r="H313" s="27" t="str">
        <f t="shared" si="29"/>
        <v/>
      </c>
      <c r="I313" s="10"/>
    </row>
    <row r="314" spans="2:9" x14ac:dyDescent="0.25">
      <c r="B314" s="38"/>
      <c r="C314" s="23" t="str">
        <f t="shared" si="24"/>
        <v/>
      </c>
      <c r="D314" s="28" t="str">
        <f t="shared" si="25"/>
        <v/>
      </c>
      <c r="E314" s="29" t="str">
        <f t="shared" si="26"/>
        <v/>
      </c>
      <c r="F314" s="30" t="str">
        <f t="shared" si="27"/>
        <v/>
      </c>
      <c r="G314" s="30" t="str">
        <f t="shared" si="28"/>
        <v/>
      </c>
      <c r="H314" s="31" t="str">
        <f t="shared" si="29"/>
        <v/>
      </c>
      <c r="I314" s="10"/>
    </row>
    <row r="315" spans="2:9" x14ac:dyDescent="0.25">
      <c r="B315" s="38"/>
      <c r="C315" s="23" t="str">
        <f t="shared" si="24"/>
        <v/>
      </c>
      <c r="D315" s="24" t="str">
        <f t="shared" si="25"/>
        <v/>
      </c>
      <c r="E315" s="25" t="str">
        <f t="shared" si="26"/>
        <v/>
      </c>
      <c r="F315" s="26" t="str">
        <f t="shared" si="27"/>
        <v/>
      </c>
      <c r="G315" s="26" t="str">
        <f t="shared" si="28"/>
        <v/>
      </c>
      <c r="H315" s="27" t="str">
        <f t="shared" si="29"/>
        <v/>
      </c>
      <c r="I315" s="10"/>
    </row>
    <row r="316" spans="2:9" x14ac:dyDescent="0.25">
      <c r="B316" s="38"/>
      <c r="C316" s="23" t="str">
        <f t="shared" si="24"/>
        <v/>
      </c>
      <c r="D316" s="28" t="str">
        <f t="shared" si="25"/>
        <v/>
      </c>
      <c r="E316" s="29" t="str">
        <f t="shared" si="26"/>
        <v/>
      </c>
      <c r="F316" s="30" t="str">
        <f t="shared" si="27"/>
        <v/>
      </c>
      <c r="G316" s="30" t="str">
        <f t="shared" si="28"/>
        <v/>
      </c>
      <c r="H316" s="31" t="str">
        <f t="shared" si="29"/>
        <v/>
      </c>
      <c r="I316" s="10"/>
    </row>
    <row r="317" spans="2:9" x14ac:dyDescent="0.25">
      <c r="B317" s="38"/>
      <c r="C317" s="23" t="str">
        <f t="shared" si="24"/>
        <v/>
      </c>
      <c r="D317" s="24" t="str">
        <f t="shared" si="25"/>
        <v/>
      </c>
      <c r="E317" s="25" t="str">
        <f t="shared" si="26"/>
        <v/>
      </c>
      <c r="F317" s="26" t="str">
        <f t="shared" si="27"/>
        <v/>
      </c>
      <c r="G317" s="26" t="str">
        <f t="shared" si="28"/>
        <v/>
      </c>
      <c r="H317" s="27" t="str">
        <f t="shared" si="29"/>
        <v/>
      </c>
      <c r="I317" s="10"/>
    </row>
    <row r="318" spans="2:9" x14ac:dyDescent="0.25">
      <c r="B318" s="38"/>
      <c r="C318" s="23" t="str">
        <f t="shared" si="24"/>
        <v/>
      </c>
      <c r="D318" s="28" t="str">
        <f t="shared" si="25"/>
        <v/>
      </c>
      <c r="E318" s="29" t="str">
        <f t="shared" si="26"/>
        <v/>
      </c>
      <c r="F318" s="30" t="str">
        <f t="shared" si="27"/>
        <v/>
      </c>
      <c r="G318" s="30" t="str">
        <f t="shared" si="28"/>
        <v/>
      </c>
      <c r="H318" s="31" t="str">
        <f t="shared" si="29"/>
        <v/>
      </c>
      <c r="I318" s="10"/>
    </row>
    <row r="319" spans="2:9" ht="16.5" thickBot="1" x14ac:dyDescent="0.3">
      <c r="B319" s="43"/>
      <c r="C319" s="32" t="str">
        <f t="shared" si="24"/>
        <v/>
      </c>
      <c r="D319" s="33" t="str">
        <f t="shared" si="25"/>
        <v/>
      </c>
      <c r="E319" s="34" t="str">
        <f t="shared" si="26"/>
        <v/>
      </c>
      <c r="F319" s="35" t="str">
        <f t="shared" si="27"/>
        <v/>
      </c>
      <c r="G319" s="35" t="str">
        <f t="shared" si="28"/>
        <v/>
      </c>
      <c r="H319" s="36" t="str">
        <f t="shared" si="29"/>
        <v/>
      </c>
      <c r="I319" s="10"/>
    </row>
    <row r="320" spans="2:9" ht="16.5" thickTop="1" x14ac:dyDescent="0.25">
      <c r="B320" s="41" t="s">
        <v>30</v>
      </c>
      <c r="C320" s="19" t="str">
        <f t="shared" si="24"/>
        <v/>
      </c>
      <c r="D320" s="28" t="str">
        <f t="shared" si="25"/>
        <v/>
      </c>
      <c r="E320" s="29" t="str">
        <f t="shared" si="26"/>
        <v/>
      </c>
      <c r="F320" s="30" t="str">
        <f t="shared" si="27"/>
        <v/>
      </c>
      <c r="G320" s="30" t="str">
        <f t="shared" si="28"/>
        <v/>
      </c>
      <c r="H320" s="31" t="str">
        <f t="shared" si="29"/>
        <v/>
      </c>
      <c r="I320" s="10"/>
    </row>
    <row r="321" spans="2:9" x14ac:dyDescent="0.25">
      <c r="B321" s="38"/>
      <c r="C321" s="23" t="str">
        <f t="shared" si="24"/>
        <v/>
      </c>
      <c r="D321" s="24" t="str">
        <f t="shared" si="25"/>
        <v/>
      </c>
      <c r="E321" s="25" t="str">
        <f t="shared" si="26"/>
        <v/>
      </c>
      <c r="F321" s="26" t="str">
        <f t="shared" si="27"/>
        <v/>
      </c>
      <c r="G321" s="26" t="str">
        <f t="shared" si="28"/>
        <v/>
      </c>
      <c r="H321" s="27" t="str">
        <f t="shared" si="29"/>
        <v/>
      </c>
      <c r="I321" s="10"/>
    </row>
    <row r="322" spans="2:9" x14ac:dyDescent="0.25">
      <c r="B322" s="38"/>
      <c r="C322" s="23" t="str">
        <f t="shared" si="24"/>
        <v/>
      </c>
      <c r="D322" s="28" t="str">
        <f t="shared" si="25"/>
        <v/>
      </c>
      <c r="E322" s="29" t="str">
        <f t="shared" si="26"/>
        <v/>
      </c>
      <c r="F322" s="30" t="str">
        <f t="shared" si="27"/>
        <v/>
      </c>
      <c r="G322" s="30" t="str">
        <f t="shared" si="28"/>
        <v/>
      </c>
      <c r="H322" s="31" t="str">
        <f t="shared" si="29"/>
        <v/>
      </c>
      <c r="I322" s="10"/>
    </row>
    <row r="323" spans="2:9" x14ac:dyDescent="0.25">
      <c r="B323" s="38"/>
      <c r="C323" s="23" t="str">
        <f t="shared" si="24"/>
        <v/>
      </c>
      <c r="D323" s="24" t="str">
        <f t="shared" si="25"/>
        <v/>
      </c>
      <c r="E323" s="25" t="str">
        <f t="shared" si="26"/>
        <v/>
      </c>
      <c r="F323" s="26" t="str">
        <f t="shared" si="27"/>
        <v/>
      </c>
      <c r="G323" s="26" t="str">
        <f t="shared" si="28"/>
        <v/>
      </c>
      <c r="H323" s="27" t="str">
        <f t="shared" si="29"/>
        <v/>
      </c>
      <c r="I323" s="10"/>
    </row>
    <row r="324" spans="2:9" x14ac:dyDescent="0.25">
      <c r="B324" s="38"/>
      <c r="C324" s="23" t="str">
        <f t="shared" si="24"/>
        <v/>
      </c>
      <c r="D324" s="28" t="str">
        <f t="shared" si="25"/>
        <v/>
      </c>
      <c r="E324" s="29" t="str">
        <f t="shared" si="26"/>
        <v/>
      </c>
      <c r="F324" s="30" t="str">
        <f t="shared" si="27"/>
        <v/>
      </c>
      <c r="G324" s="30" t="str">
        <f t="shared" si="28"/>
        <v/>
      </c>
      <c r="H324" s="31" t="str">
        <f t="shared" si="29"/>
        <v/>
      </c>
      <c r="I324" s="10"/>
    </row>
    <row r="325" spans="2:9" x14ac:dyDescent="0.25">
      <c r="B325" s="38"/>
      <c r="C325" s="23" t="str">
        <f t="shared" si="24"/>
        <v/>
      </c>
      <c r="D325" s="24" t="str">
        <f t="shared" si="25"/>
        <v/>
      </c>
      <c r="E325" s="25" t="str">
        <f t="shared" si="26"/>
        <v/>
      </c>
      <c r="F325" s="26" t="str">
        <f t="shared" si="27"/>
        <v/>
      </c>
      <c r="G325" s="26" t="str">
        <f t="shared" si="28"/>
        <v/>
      </c>
      <c r="H325" s="27" t="str">
        <f t="shared" si="29"/>
        <v/>
      </c>
      <c r="I325" s="10"/>
    </row>
    <row r="326" spans="2:9" x14ac:dyDescent="0.25">
      <c r="B326" s="38"/>
      <c r="C326" s="23" t="str">
        <f t="shared" si="24"/>
        <v/>
      </c>
      <c r="D326" s="28" t="str">
        <f t="shared" si="25"/>
        <v/>
      </c>
      <c r="E326" s="29" t="str">
        <f t="shared" si="26"/>
        <v/>
      </c>
      <c r="F326" s="30" t="str">
        <f t="shared" si="27"/>
        <v/>
      </c>
      <c r="G326" s="30" t="str">
        <f t="shared" si="28"/>
        <v/>
      </c>
      <c r="H326" s="31" t="str">
        <f t="shared" si="29"/>
        <v/>
      </c>
      <c r="I326" s="10"/>
    </row>
    <row r="327" spans="2:9" x14ac:dyDescent="0.25">
      <c r="B327" s="38"/>
      <c r="C327" s="23" t="str">
        <f t="shared" si="24"/>
        <v/>
      </c>
      <c r="D327" s="24" t="str">
        <f t="shared" si="25"/>
        <v/>
      </c>
      <c r="E327" s="25" t="str">
        <f t="shared" si="26"/>
        <v/>
      </c>
      <c r="F327" s="26" t="str">
        <f t="shared" si="27"/>
        <v/>
      </c>
      <c r="G327" s="26" t="str">
        <f t="shared" si="28"/>
        <v/>
      </c>
      <c r="H327" s="27" t="str">
        <f t="shared" si="29"/>
        <v/>
      </c>
      <c r="I327" s="10"/>
    </row>
    <row r="328" spans="2:9" x14ac:dyDescent="0.25">
      <c r="B328" s="38"/>
      <c r="C328" s="23" t="str">
        <f t="shared" si="24"/>
        <v/>
      </c>
      <c r="D328" s="28" t="str">
        <f t="shared" si="25"/>
        <v/>
      </c>
      <c r="E328" s="29" t="str">
        <f t="shared" si="26"/>
        <v/>
      </c>
      <c r="F328" s="30" t="str">
        <f t="shared" si="27"/>
        <v/>
      </c>
      <c r="G328" s="30" t="str">
        <f t="shared" si="28"/>
        <v/>
      </c>
      <c r="H328" s="31" t="str">
        <f t="shared" si="29"/>
        <v/>
      </c>
      <c r="I328" s="10"/>
    </row>
    <row r="329" spans="2:9" x14ac:dyDescent="0.25">
      <c r="B329" s="38"/>
      <c r="C329" s="23" t="str">
        <f t="shared" ref="C329:C367" si="30">IF(C328&lt;$F$6,C328+1,"")</f>
        <v/>
      </c>
      <c r="D329" s="24" t="str">
        <f t="shared" si="25"/>
        <v/>
      </c>
      <c r="E329" s="25" t="str">
        <f t="shared" si="26"/>
        <v/>
      </c>
      <c r="F329" s="26" t="str">
        <f t="shared" si="27"/>
        <v/>
      </c>
      <c r="G329" s="26" t="str">
        <f t="shared" si="28"/>
        <v/>
      </c>
      <c r="H329" s="27" t="str">
        <f t="shared" si="29"/>
        <v/>
      </c>
      <c r="I329" s="10"/>
    </row>
    <row r="330" spans="2:9" x14ac:dyDescent="0.25">
      <c r="B330" s="38"/>
      <c r="C330" s="23" t="str">
        <f t="shared" si="30"/>
        <v/>
      </c>
      <c r="D330" s="28" t="str">
        <f t="shared" ref="D330:D367" si="31">IF(C330="","",DATE(YEAR(D329),MONTH(D329)+1,DAY(D329)))</f>
        <v/>
      </c>
      <c r="E330" s="29" t="str">
        <f t="shared" ref="E330:E367" si="32">IF(C330="","",E329-F330)</f>
        <v/>
      </c>
      <c r="F330" s="30" t="str">
        <f t="shared" ref="F330:F367" si="33">IF(C330="","",-PPMT($F$5/12,C330,$F$4*12,$D$5))</f>
        <v/>
      </c>
      <c r="G330" s="30" t="str">
        <f t="shared" ref="G330:G367" si="34">IF(C330="","",-IPMT($F$5/12,C330,$F$4*12,$D$5))</f>
        <v/>
      </c>
      <c r="H330" s="31" t="str">
        <f t="shared" ref="H330:H367" si="35">IF(C330="","",H329+F330+G330)</f>
        <v/>
      </c>
      <c r="I330" s="10"/>
    </row>
    <row r="331" spans="2:9" ht="16.5" thickBot="1" x14ac:dyDescent="0.3">
      <c r="B331" s="43"/>
      <c r="C331" s="32" t="str">
        <f t="shared" si="30"/>
        <v/>
      </c>
      <c r="D331" s="33" t="str">
        <f t="shared" si="31"/>
        <v/>
      </c>
      <c r="E331" s="34" t="str">
        <f t="shared" si="32"/>
        <v/>
      </c>
      <c r="F331" s="35" t="str">
        <f t="shared" si="33"/>
        <v/>
      </c>
      <c r="G331" s="35" t="str">
        <f t="shared" si="34"/>
        <v/>
      </c>
      <c r="H331" s="36" t="str">
        <f t="shared" si="35"/>
        <v/>
      </c>
      <c r="I331" s="10"/>
    </row>
    <row r="332" spans="2:9" ht="16.5" thickTop="1" x14ac:dyDescent="0.25">
      <c r="B332" s="41" t="s">
        <v>31</v>
      </c>
      <c r="C332" s="19" t="str">
        <f t="shared" si="30"/>
        <v/>
      </c>
      <c r="D332" s="28" t="str">
        <f t="shared" si="31"/>
        <v/>
      </c>
      <c r="E332" s="29" t="str">
        <f t="shared" si="32"/>
        <v/>
      </c>
      <c r="F332" s="30" t="str">
        <f t="shared" si="33"/>
        <v/>
      </c>
      <c r="G332" s="30" t="str">
        <f t="shared" si="34"/>
        <v/>
      </c>
      <c r="H332" s="31" t="str">
        <f t="shared" si="35"/>
        <v/>
      </c>
      <c r="I332" s="10"/>
    </row>
    <row r="333" spans="2:9" x14ac:dyDescent="0.25">
      <c r="B333" s="38"/>
      <c r="C333" s="23" t="str">
        <f t="shared" si="30"/>
        <v/>
      </c>
      <c r="D333" s="24" t="str">
        <f t="shared" si="31"/>
        <v/>
      </c>
      <c r="E333" s="25" t="str">
        <f t="shared" si="32"/>
        <v/>
      </c>
      <c r="F333" s="26" t="str">
        <f t="shared" si="33"/>
        <v/>
      </c>
      <c r="G333" s="26" t="str">
        <f t="shared" si="34"/>
        <v/>
      </c>
      <c r="H333" s="27" t="str">
        <f t="shared" si="35"/>
        <v/>
      </c>
      <c r="I333" s="10"/>
    </row>
    <row r="334" spans="2:9" x14ac:dyDescent="0.25">
      <c r="B334" s="38"/>
      <c r="C334" s="23" t="str">
        <f t="shared" si="30"/>
        <v/>
      </c>
      <c r="D334" s="28" t="str">
        <f t="shared" si="31"/>
        <v/>
      </c>
      <c r="E334" s="29" t="str">
        <f t="shared" si="32"/>
        <v/>
      </c>
      <c r="F334" s="30" t="str">
        <f t="shared" si="33"/>
        <v/>
      </c>
      <c r="G334" s="30" t="str">
        <f t="shared" si="34"/>
        <v/>
      </c>
      <c r="H334" s="31" t="str">
        <f t="shared" si="35"/>
        <v/>
      </c>
      <c r="I334" s="10"/>
    </row>
    <row r="335" spans="2:9" x14ac:dyDescent="0.25">
      <c r="B335" s="38"/>
      <c r="C335" s="23" t="str">
        <f t="shared" si="30"/>
        <v/>
      </c>
      <c r="D335" s="24" t="str">
        <f t="shared" si="31"/>
        <v/>
      </c>
      <c r="E335" s="25" t="str">
        <f t="shared" si="32"/>
        <v/>
      </c>
      <c r="F335" s="26" t="str">
        <f t="shared" si="33"/>
        <v/>
      </c>
      <c r="G335" s="26" t="str">
        <f t="shared" si="34"/>
        <v/>
      </c>
      <c r="H335" s="27" t="str">
        <f t="shared" si="35"/>
        <v/>
      </c>
      <c r="I335" s="10"/>
    </row>
    <row r="336" spans="2:9" x14ac:dyDescent="0.25">
      <c r="B336" s="38"/>
      <c r="C336" s="23" t="str">
        <f t="shared" si="30"/>
        <v/>
      </c>
      <c r="D336" s="28" t="str">
        <f t="shared" si="31"/>
        <v/>
      </c>
      <c r="E336" s="29" t="str">
        <f t="shared" si="32"/>
        <v/>
      </c>
      <c r="F336" s="30" t="str">
        <f t="shared" si="33"/>
        <v/>
      </c>
      <c r="G336" s="30" t="str">
        <f t="shared" si="34"/>
        <v/>
      </c>
      <c r="H336" s="31" t="str">
        <f t="shared" si="35"/>
        <v/>
      </c>
      <c r="I336" s="10"/>
    </row>
    <row r="337" spans="2:9" x14ac:dyDescent="0.25">
      <c r="B337" s="38"/>
      <c r="C337" s="23" t="str">
        <f t="shared" si="30"/>
        <v/>
      </c>
      <c r="D337" s="24" t="str">
        <f t="shared" si="31"/>
        <v/>
      </c>
      <c r="E337" s="25" t="str">
        <f t="shared" si="32"/>
        <v/>
      </c>
      <c r="F337" s="26" t="str">
        <f t="shared" si="33"/>
        <v/>
      </c>
      <c r="G337" s="26" t="str">
        <f t="shared" si="34"/>
        <v/>
      </c>
      <c r="H337" s="27" t="str">
        <f t="shared" si="35"/>
        <v/>
      </c>
      <c r="I337" s="10"/>
    </row>
    <row r="338" spans="2:9" x14ac:dyDescent="0.25">
      <c r="B338" s="38"/>
      <c r="C338" s="23" t="str">
        <f t="shared" si="30"/>
        <v/>
      </c>
      <c r="D338" s="28" t="str">
        <f t="shared" si="31"/>
        <v/>
      </c>
      <c r="E338" s="29" t="str">
        <f t="shared" si="32"/>
        <v/>
      </c>
      <c r="F338" s="30" t="str">
        <f t="shared" si="33"/>
        <v/>
      </c>
      <c r="G338" s="30" t="str">
        <f t="shared" si="34"/>
        <v/>
      </c>
      <c r="H338" s="31" t="str">
        <f t="shared" si="35"/>
        <v/>
      </c>
      <c r="I338" s="10"/>
    </row>
    <row r="339" spans="2:9" x14ac:dyDescent="0.25">
      <c r="B339" s="38"/>
      <c r="C339" s="23" t="str">
        <f t="shared" si="30"/>
        <v/>
      </c>
      <c r="D339" s="24" t="str">
        <f t="shared" si="31"/>
        <v/>
      </c>
      <c r="E339" s="25" t="str">
        <f t="shared" si="32"/>
        <v/>
      </c>
      <c r="F339" s="26" t="str">
        <f t="shared" si="33"/>
        <v/>
      </c>
      <c r="G339" s="26" t="str">
        <f t="shared" si="34"/>
        <v/>
      </c>
      <c r="H339" s="27" t="str">
        <f t="shared" si="35"/>
        <v/>
      </c>
      <c r="I339" s="10"/>
    </row>
    <row r="340" spans="2:9" x14ac:dyDescent="0.25">
      <c r="B340" s="38"/>
      <c r="C340" s="23" t="str">
        <f t="shared" si="30"/>
        <v/>
      </c>
      <c r="D340" s="28" t="str">
        <f t="shared" si="31"/>
        <v/>
      </c>
      <c r="E340" s="29" t="str">
        <f t="shared" si="32"/>
        <v/>
      </c>
      <c r="F340" s="30" t="str">
        <f t="shared" si="33"/>
        <v/>
      </c>
      <c r="G340" s="30" t="str">
        <f t="shared" si="34"/>
        <v/>
      </c>
      <c r="H340" s="31" t="str">
        <f t="shared" si="35"/>
        <v/>
      </c>
      <c r="I340" s="10"/>
    </row>
    <row r="341" spans="2:9" x14ac:dyDescent="0.25">
      <c r="B341" s="38"/>
      <c r="C341" s="23" t="str">
        <f t="shared" si="30"/>
        <v/>
      </c>
      <c r="D341" s="24" t="str">
        <f t="shared" si="31"/>
        <v/>
      </c>
      <c r="E341" s="25" t="str">
        <f t="shared" si="32"/>
        <v/>
      </c>
      <c r="F341" s="26" t="str">
        <f t="shared" si="33"/>
        <v/>
      </c>
      <c r="G341" s="26" t="str">
        <f t="shared" si="34"/>
        <v/>
      </c>
      <c r="H341" s="27" t="str">
        <f t="shared" si="35"/>
        <v/>
      </c>
      <c r="I341" s="10"/>
    </row>
    <row r="342" spans="2:9" x14ac:dyDescent="0.25">
      <c r="B342" s="38"/>
      <c r="C342" s="23" t="str">
        <f t="shared" si="30"/>
        <v/>
      </c>
      <c r="D342" s="28" t="str">
        <f t="shared" si="31"/>
        <v/>
      </c>
      <c r="E342" s="29" t="str">
        <f t="shared" si="32"/>
        <v/>
      </c>
      <c r="F342" s="30" t="str">
        <f t="shared" si="33"/>
        <v/>
      </c>
      <c r="G342" s="30" t="str">
        <f t="shared" si="34"/>
        <v/>
      </c>
      <c r="H342" s="31" t="str">
        <f t="shared" si="35"/>
        <v/>
      </c>
      <c r="I342" s="10"/>
    </row>
    <row r="343" spans="2:9" ht="16.5" thickBot="1" x14ac:dyDescent="0.3">
      <c r="B343" s="43"/>
      <c r="C343" s="32" t="str">
        <f t="shared" si="30"/>
        <v/>
      </c>
      <c r="D343" s="33" t="str">
        <f t="shared" si="31"/>
        <v/>
      </c>
      <c r="E343" s="34" t="str">
        <f t="shared" si="32"/>
        <v/>
      </c>
      <c r="F343" s="35" t="str">
        <f t="shared" si="33"/>
        <v/>
      </c>
      <c r="G343" s="35" t="str">
        <f t="shared" si="34"/>
        <v/>
      </c>
      <c r="H343" s="36" t="str">
        <f t="shared" si="35"/>
        <v/>
      </c>
      <c r="I343" s="10"/>
    </row>
    <row r="344" spans="2:9" ht="16.5" thickTop="1" x14ac:dyDescent="0.25">
      <c r="B344" s="41" t="s">
        <v>32</v>
      </c>
      <c r="C344" s="19" t="str">
        <f t="shared" si="30"/>
        <v/>
      </c>
      <c r="D344" s="28" t="str">
        <f t="shared" si="31"/>
        <v/>
      </c>
      <c r="E344" s="29" t="str">
        <f t="shared" si="32"/>
        <v/>
      </c>
      <c r="F344" s="30" t="str">
        <f t="shared" si="33"/>
        <v/>
      </c>
      <c r="G344" s="30" t="str">
        <f t="shared" si="34"/>
        <v/>
      </c>
      <c r="H344" s="31" t="str">
        <f t="shared" si="35"/>
        <v/>
      </c>
      <c r="I344" s="10"/>
    </row>
    <row r="345" spans="2:9" x14ac:dyDescent="0.25">
      <c r="B345" s="38"/>
      <c r="C345" s="23" t="str">
        <f t="shared" si="30"/>
        <v/>
      </c>
      <c r="D345" s="24" t="str">
        <f t="shared" si="31"/>
        <v/>
      </c>
      <c r="E345" s="25" t="str">
        <f t="shared" si="32"/>
        <v/>
      </c>
      <c r="F345" s="26" t="str">
        <f t="shared" si="33"/>
        <v/>
      </c>
      <c r="G345" s="26" t="str">
        <f t="shared" si="34"/>
        <v/>
      </c>
      <c r="H345" s="27" t="str">
        <f t="shared" si="35"/>
        <v/>
      </c>
      <c r="I345" s="10"/>
    </row>
    <row r="346" spans="2:9" x14ac:dyDescent="0.25">
      <c r="B346" s="38"/>
      <c r="C346" s="23" t="str">
        <f t="shared" si="30"/>
        <v/>
      </c>
      <c r="D346" s="28" t="str">
        <f t="shared" si="31"/>
        <v/>
      </c>
      <c r="E346" s="29" t="str">
        <f t="shared" si="32"/>
        <v/>
      </c>
      <c r="F346" s="30" t="str">
        <f t="shared" si="33"/>
        <v/>
      </c>
      <c r="G346" s="30" t="str">
        <f t="shared" si="34"/>
        <v/>
      </c>
      <c r="H346" s="31" t="str">
        <f t="shared" si="35"/>
        <v/>
      </c>
      <c r="I346" s="10"/>
    </row>
    <row r="347" spans="2:9" x14ac:dyDescent="0.25">
      <c r="B347" s="38"/>
      <c r="C347" s="23" t="str">
        <f t="shared" si="30"/>
        <v/>
      </c>
      <c r="D347" s="24" t="str">
        <f t="shared" si="31"/>
        <v/>
      </c>
      <c r="E347" s="25" t="str">
        <f t="shared" si="32"/>
        <v/>
      </c>
      <c r="F347" s="26" t="str">
        <f t="shared" si="33"/>
        <v/>
      </c>
      <c r="G347" s="26" t="str">
        <f t="shared" si="34"/>
        <v/>
      </c>
      <c r="H347" s="27" t="str">
        <f t="shared" si="35"/>
        <v/>
      </c>
      <c r="I347" s="10"/>
    </row>
    <row r="348" spans="2:9" x14ac:dyDescent="0.25">
      <c r="B348" s="38"/>
      <c r="C348" s="23" t="str">
        <f t="shared" si="30"/>
        <v/>
      </c>
      <c r="D348" s="28" t="str">
        <f t="shared" si="31"/>
        <v/>
      </c>
      <c r="E348" s="29" t="str">
        <f t="shared" si="32"/>
        <v/>
      </c>
      <c r="F348" s="30" t="str">
        <f t="shared" si="33"/>
        <v/>
      </c>
      <c r="G348" s="30" t="str">
        <f t="shared" si="34"/>
        <v/>
      </c>
      <c r="H348" s="31" t="str">
        <f t="shared" si="35"/>
        <v/>
      </c>
      <c r="I348" s="10"/>
    </row>
    <row r="349" spans="2:9" x14ac:dyDescent="0.25">
      <c r="B349" s="38"/>
      <c r="C349" s="23" t="str">
        <f t="shared" si="30"/>
        <v/>
      </c>
      <c r="D349" s="24" t="str">
        <f t="shared" si="31"/>
        <v/>
      </c>
      <c r="E349" s="25" t="str">
        <f t="shared" si="32"/>
        <v/>
      </c>
      <c r="F349" s="26" t="str">
        <f t="shared" si="33"/>
        <v/>
      </c>
      <c r="G349" s="26" t="str">
        <f t="shared" si="34"/>
        <v/>
      </c>
      <c r="H349" s="27" t="str">
        <f t="shared" si="35"/>
        <v/>
      </c>
      <c r="I349" s="10"/>
    </row>
    <row r="350" spans="2:9" x14ac:dyDescent="0.25">
      <c r="B350" s="38"/>
      <c r="C350" s="23" t="str">
        <f t="shared" si="30"/>
        <v/>
      </c>
      <c r="D350" s="28" t="str">
        <f t="shared" si="31"/>
        <v/>
      </c>
      <c r="E350" s="29" t="str">
        <f t="shared" si="32"/>
        <v/>
      </c>
      <c r="F350" s="30" t="str">
        <f t="shared" si="33"/>
        <v/>
      </c>
      <c r="G350" s="30" t="str">
        <f t="shared" si="34"/>
        <v/>
      </c>
      <c r="H350" s="31" t="str">
        <f t="shared" si="35"/>
        <v/>
      </c>
      <c r="I350" s="10"/>
    </row>
    <row r="351" spans="2:9" x14ac:dyDescent="0.25">
      <c r="B351" s="38"/>
      <c r="C351" s="23" t="str">
        <f t="shared" si="30"/>
        <v/>
      </c>
      <c r="D351" s="24" t="str">
        <f t="shared" si="31"/>
        <v/>
      </c>
      <c r="E351" s="25" t="str">
        <f t="shared" si="32"/>
        <v/>
      </c>
      <c r="F351" s="26" t="str">
        <f t="shared" si="33"/>
        <v/>
      </c>
      <c r="G351" s="26" t="str">
        <f t="shared" si="34"/>
        <v/>
      </c>
      <c r="H351" s="27" t="str">
        <f t="shared" si="35"/>
        <v/>
      </c>
      <c r="I351" s="10"/>
    </row>
    <row r="352" spans="2:9" x14ac:dyDescent="0.25">
      <c r="B352" s="38"/>
      <c r="C352" s="23" t="str">
        <f t="shared" si="30"/>
        <v/>
      </c>
      <c r="D352" s="28" t="str">
        <f t="shared" si="31"/>
        <v/>
      </c>
      <c r="E352" s="29" t="str">
        <f t="shared" si="32"/>
        <v/>
      </c>
      <c r="F352" s="30" t="str">
        <f t="shared" si="33"/>
        <v/>
      </c>
      <c r="G352" s="30" t="str">
        <f t="shared" si="34"/>
        <v/>
      </c>
      <c r="H352" s="31" t="str">
        <f t="shared" si="35"/>
        <v/>
      </c>
      <c r="I352" s="10"/>
    </row>
    <row r="353" spans="2:9" x14ac:dyDescent="0.25">
      <c r="B353" s="38"/>
      <c r="C353" s="23" t="str">
        <f t="shared" si="30"/>
        <v/>
      </c>
      <c r="D353" s="24" t="str">
        <f t="shared" si="31"/>
        <v/>
      </c>
      <c r="E353" s="25" t="str">
        <f t="shared" si="32"/>
        <v/>
      </c>
      <c r="F353" s="26" t="str">
        <f t="shared" si="33"/>
        <v/>
      </c>
      <c r="G353" s="26" t="str">
        <f t="shared" si="34"/>
        <v/>
      </c>
      <c r="H353" s="27" t="str">
        <f t="shared" si="35"/>
        <v/>
      </c>
      <c r="I353" s="10"/>
    </row>
    <row r="354" spans="2:9" x14ac:dyDescent="0.25">
      <c r="B354" s="38"/>
      <c r="C354" s="23" t="str">
        <f t="shared" si="30"/>
        <v/>
      </c>
      <c r="D354" s="28" t="str">
        <f t="shared" si="31"/>
        <v/>
      </c>
      <c r="E354" s="29" t="str">
        <f t="shared" si="32"/>
        <v/>
      </c>
      <c r="F354" s="30" t="str">
        <f t="shared" si="33"/>
        <v/>
      </c>
      <c r="G354" s="30" t="str">
        <f t="shared" si="34"/>
        <v/>
      </c>
      <c r="H354" s="31" t="str">
        <f t="shared" si="35"/>
        <v/>
      </c>
      <c r="I354" s="10"/>
    </row>
    <row r="355" spans="2:9" ht="16.5" thickBot="1" x14ac:dyDescent="0.3">
      <c r="B355" s="43"/>
      <c r="C355" s="32" t="str">
        <f t="shared" si="30"/>
        <v/>
      </c>
      <c r="D355" s="33" t="str">
        <f t="shared" si="31"/>
        <v/>
      </c>
      <c r="E355" s="34" t="str">
        <f t="shared" si="32"/>
        <v/>
      </c>
      <c r="F355" s="35" t="str">
        <f t="shared" si="33"/>
        <v/>
      </c>
      <c r="G355" s="35" t="str">
        <f t="shared" si="34"/>
        <v/>
      </c>
      <c r="H355" s="36" t="str">
        <f t="shared" si="35"/>
        <v/>
      </c>
      <c r="I355" s="10"/>
    </row>
    <row r="356" spans="2:9" ht="16.5" thickTop="1" x14ac:dyDescent="0.25">
      <c r="B356" s="41" t="s">
        <v>33</v>
      </c>
      <c r="C356" s="19" t="str">
        <f t="shared" si="30"/>
        <v/>
      </c>
      <c r="D356" s="28" t="str">
        <f t="shared" si="31"/>
        <v/>
      </c>
      <c r="E356" s="29" t="str">
        <f t="shared" si="32"/>
        <v/>
      </c>
      <c r="F356" s="30" t="str">
        <f t="shared" si="33"/>
        <v/>
      </c>
      <c r="G356" s="30" t="str">
        <f t="shared" si="34"/>
        <v/>
      </c>
      <c r="H356" s="31" t="str">
        <f t="shared" si="35"/>
        <v/>
      </c>
      <c r="I356" s="10"/>
    </row>
    <row r="357" spans="2:9" x14ac:dyDescent="0.25">
      <c r="B357" s="38"/>
      <c r="C357" s="23" t="str">
        <f t="shared" si="30"/>
        <v/>
      </c>
      <c r="D357" s="24" t="str">
        <f t="shared" si="31"/>
        <v/>
      </c>
      <c r="E357" s="25" t="str">
        <f t="shared" si="32"/>
        <v/>
      </c>
      <c r="F357" s="26" t="str">
        <f t="shared" si="33"/>
        <v/>
      </c>
      <c r="G357" s="26" t="str">
        <f t="shared" si="34"/>
        <v/>
      </c>
      <c r="H357" s="27" t="str">
        <f t="shared" si="35"/>
        <v/>
      </c>
      <c r="I357" s="10"/>
    </row>
    <row r="358" spans="2:9" x14ac:dyDescent="0.25">
      <c r="B358" s="38"/>
      <c r="C358" s="23" t="str">
        <f t="shared" si="30"/>
        <v/>
      </c>
      <c r="D358" s="28" t="str">
        <f t="shared" si="31"/>
        <v/>
      </c>
      <c r="E358" s="29" t="str">
        <f t="shared" si="32"/>
        <v/>
      </c>
      <c r="F358" s="30" t="str">
        <f t="shared" si="33"/>
        <v/>
      </c>
      <c r="G358" s="30" t="str">
        <f t="shared" si="34"/>
        <v/>
      </c>
      <c r="H358" s="31" t="str">
        <f t="shared" si="35"/>
        <v/>
      </c>
      <c r="I358" s="10"/>
    </row>
    <row r="359" spans="2:9" x14ac:dyDescent="0.25">
      <c r="B359" s="38"/>
      <c r="C359" s="23" t="str">
        <f t="shared" si="30"/>
        <v/>
      </c>
      <c r="D359" s="24" t="str">
        <f t="shared" si="31"/>
        <v/>
      </c>
      <c r="E359" s="25" t="str">
        <f t="shared" si="32"/>
        <v/>
      </c>
      <c r="F359" s="26" t="str">
        <f t="shared" si="33"/>
        <v/>
      </c>
      <c r="G359" s="26" t="str">
        <f t="shared" si="34"/>
        <v/>
      </c>
      <c r="H359" s="27" t="str">
        <f t="shared" si="35"/>
        <v/>
      </c>
      <c r="I359" s="10"/>
    </row>
    <row r="360" spans="2:9" x14ac:dyDescent="0.25">
      <c r="B360" s="38"/>
      <c r="C360" s="23" t="str">
        <f t="shared" si="30"/>
        <v/>
      </c>
      <c r="D360" s="28" t="str">
        <f t="shared" si="31"/>
        <v/>
      </c>
      <c r="E360" s="29" t="str">
        <f t="shared" si="32"/>
        <v/>
      </c>
      <c r="F360" s="30" t="str">
        <f t="shared" si="33"/>
        <v/>
      </c>
      <c r="G360" s="30" t="str">
        <f t="shared" si="34"/>
        <v/>
      </c>
      <c r="H360" s="31" t="str">
        <f t="shared" si="35"/>
        <v/>
      </c>
      <c r="I360" s="10"/>
    </row>
    <row r="361" spans="2:9" x14ac:dyDescent="0.25">
      <c r="B361" s="38"/>
      <c r="C361" s="23" t="str">
        <f t="shared" si="30"/>
        <v/>
      </c>
      <c r="D361" s="24" t="str">
        <f t="shared" si="31"/>
        <v/>
      </c>
      <c r="E361" s="25" t="str">
        <f t="shared" si="32"/>
        <v/>
      </c>
      <c r="F361" s="26" t="str">
        <f t="shared" si="33"/>
        <v/>
      </c>
      <c r="G361" s="26" t="str">
        <f t="shared" si="34"/>
        <v/>
      </c>
      <c r="H361" s="27" t="str">
        <f t="shared" si="35"/>
        <v/>
      </c>
      <c r="I361" s="10"/>
    </row>
    <row r="362" spans="2:9" x14ac:dyDescent="0.25">
      <c r="B362" s="38"/>
      <c r="C362" s="23" t="str">
        <f t="shared" si="30"/>
        <v/>
      </c>
      <c r="D362" s="28" t="str">
        <f t="shared" si="31"/>
        <v/>
      </c>
      <c r="E362" s="29" t="str">
        <f t="shared" si="32"/>
        <v/>
      </c>
      <c r="F362" s="30" t="str">
        <f t="shared" si="33"/>
        <v/>
      </c>
      <c r="G362" s="30" t="str">
        <f t="shared" si="34"/>
        <v/>
      </c>
      <c r="H362" s="31" t="str">
        <f t="shared" si="35"/>
        <v/>
      </c>
      <c r="I362" s="10"/>
    </row>
    <row r="363" spans="2:9" x14ac:dyDescent="0.25">
      <c r="B363" s="38"/>
      <c r="C363" s="23" t="str">
        <f t="shared" si="30"/>
        <v/>
      </c>
      <c r="D363" s="24" t="str">
        <f t="shared" si="31"/>
        <v/>
      </c>
      <c r="E363" s="25" t="str">
        <f t="shared" si="32"/>
        <v/>
      </c>
      <c r="F363" s="26" t="str">
        <f t="shared" si="33"/>
        <v/>
      </c>
      <c r="G363" s="26" t="str">
        <f t="shared" si="34"/>
        <v/>
      </c>
      <c r="H363" s="27" t="str">
        <f t="shared" si="35"/>
        <v/>
      </c>
      <c r="I363" s="10"/>
    </row>
    <row r="364" spans="2:9" x14ac:dyDescent="0.25">
      <c r="B364" s="38"/>
      <c r="C364" s="23" t="str">
        <f t="shared" si="30"/>
        <v/>
      </c>
      <c r="D364" s="28" t="str">
        <f t="shared" si="31"/>
        <v/>
      </c>
      <c r="E364" s="29" t="str">
        <f t="shared" si="32"/>
        <v/>
      </c>
      <c r="F364" s="30" t="str">
        <f t="shared" si="33"/>
        <v/>
      </c>
      <c r="G364" s="30" t="str">
        <f t="shared" si="34"/>
        <v/>
      </c>
      <c r="H364" s="31" t="str">
        <f t="shared" si="35"/>
        <v/>
      </c>
      <c r="I364" s="10"/>
    </row>
    <row r="365" spans="2:9" x14ac:dyDescent="0.25">
      <c r="B365" s="38"/>
      <c r="C365" s="23" t="str">
        <f t="shared" si="30"/>
        <v/>
      </c>
      <c r="D365" s="24" t="str">
        <f t="shared" si="31"/>
        <v/>
      </c>
      <c r="E365" s="25" t="str">
        <f t="shared" si="32"/>
        <v/>
      </c>
      <c r="F365" s="26" t="str">
        <f t="shared" si="33"/>
        <v/>
      </c>
      <c r="G365" s="26" t="str">
        <f t="shared" si="34"/>
        <v/>
      </c>
      <c r="H365" s="27" t="str">
        <f t="shared" si="35"/>
        <v/>
      </c>
      <c r="I365" s="10"/>
    </row>
    <row r="366" spans="2:9" x14ac:dyDescent="0.25">
      <c r="B366" s="38"/>
      <c r="C366" s="23" t="str">
        <f t="shared" si="30"/>
        <v/>
      </c>
      <c r="D366" s="28" t="str">
        <f t="shared" si="31"/>
        <v/>
      </c>
      <c r="E366" s="29" t="str">
        <f t="shared" si="32"/>
        <v/>
      </c>
      <c r="F366" s="30" t="str">
        <f t="shared" si="33"/>
        <v/>
      </c>
      <c r="G366" s="30" t="str">
        <f t="shared" si="34"/>
        <v/>
      </c>
      <c r="H366" s="31" t="str">
        <f t="shared" si="35"/>
        <v/>
      </c>
      <c r="I366" s="10"/>
    </row>
    <row r="367" spans="2:9" ht="16.5" thickBot="1" x14ac:dyDescent="0.3">
      <c r="B367" s="43"/>
      <c r="C367" s="32" t="str">
        <f t="shared" si="30"/>
        <v/>
      </c>
      <c r="D367" s="33" t="str">
        <f t="shared" si="31"/>
        <v/>
      </c>
      <c r="E367" s="34" t="str">
        <f t="shared" si="32"/>
        <v/>
      </c>
      <c r="F367" s="35" t="str">
        <f t="shared" si="33"/>
        <v/>
      </c>
      <c r="G367" s="35" t="str">
        <f t="shared" si="34"/>
        <v/>
      </c>
      <c r="H367" s="36" t="str">
        <f t="shared" si="35"/>
        <v/>
      </c>
      <c r="I367" s="10"/>
    </row>
  </sheetData>
  <sheetProtection algorithmName="SHA-512" hashValue="4UPwmI+uorKuBTYzL5f6kGBZr2iYH2ONYX5GrSrfuNpF1qjMeNw/v24V7d9qoDJdbF3EE7YF8/Xm3MxSbxT6cg==" saltValue="SF+9iPSJv9BQdLtBhDEmYQ==" spinCount="100000" sheet="1" objects="1" scenarios="1"/>
  <protectedRanges>
    <protectedRange sqref="F2:F3 H2:I5 F5" name="範圍1"/>
  </protectedRanges>
  <mergeCells count="33">
    <mergeCell ref="B2:H3"/>
    <mergeCell ref="B4:C4"/>
    <mergeCell ref="B5:C5"/>
    <mergeCell ref="B332:B343"/>
    <mergeCell ref="B344:B355"/>
    <mergeCell ref="B188:B199"/>
    <mergeCell ref="B200:B211"/>
    <mergeCell ref="B212:B223"/>
    <mergeCell ref="B224:B235"/>
    <mergeCell ref="B236:B247"/>
    <mergeCell ref="B248:B259"/>
    <mergeCell ref="B116:B127"/>
    <mergeCell ref="B128:B139"/>
    <mergeCell ref="B140:B151"/>
    <mergeCell ref="B152:B163"/>
    <mergeCell ref="B164:B175"/>
    <mergeCell ref="B356:B367"/>
    <mergeCell ref="B260:B271"/>
    <mergeCell ref="B272:B283"/>
    <mergeCell ref="B284:B295"/>
    <mergeCell ref="B296:B307"/>
    <mergeCell ref="B308:B319"/>
    <mergeCell ref="B320:B331"/>
    <mergeCell ref="B176:B187"/>
    <mergeCell ref="B104:B115"/>
    <mergeCell ref="B8:B19"/>
    <mergeCell ref="B20:B31"/>
    <mergeCell ref="B32:B43"/>
    <mergeCell ref="B44:B55"/>
    <mergeCell ref="B56:B67"/>
    <mergeCell ref="B68:B79"/>
    <mergeCell ref="B80:B91"/>
    <mergeCell ref="B92:B103"/>
  </mergeCells>
  <phoneticPr fontId="1" type="noConversion"/>
  <dataValidations count="1">
    <dataValidation type="whole" allowBlank="1" showInputMessage="1" showErrorMessage="1" sqref="F4">
      <formula1>1</formula1>
      <formula2>30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6" r:id="rId4" name="Button 20">
              <controlPr defaultSize="0" print="0" autoFill="0" autoPict="0" macro="[0]!清除輸入資料">
                <anchor moveWithCells="1">
                  <from>
                    <xdr:col>7</xdr:col>
                    <xdr:colOff>95250</xdr:colOff>
                    <xdr:row>1</xdr:row>
                    <xdr:rowOff>95250</xdr:rowOff>
                  </from>
                  <to>
                    <xdr:col>7</xdr:col>
                    <xdr:colOff>1133475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分期貸款試算表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ivenss</dc:creator>
  <cp:lastModifiedBy>Ivenss</cp:lastModifiedBy>
  <dcterms:created xsi:type="dcterms:W3CDTF">2012-12-23T11:25:19Z</dcterms:created>
  <dcterms:modified xsi:type="dcterms:W3CDTF">2014-01-25T13:49:41Z</dcterms:modified>
</cp:coreProperties>
</file>